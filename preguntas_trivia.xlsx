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ula Tech\Desktop\Proyecto\Album de figuritas\"/>
    </mc:Choice>
  </mc:AlternateContent>
  <bookViews>
    <workbookView xWindow="0" yWindow="0" windowWidth="23040" windowHeight="9264" activeTab="5"/>
  </bookViews>
  <sheets>
    <sheet name="1°" sheetId="1" r:id="rId1"/>
    <sheet name="2°" sheetId="2" r:id="rId2"/>
    <sheet name="3°" sheetId="3" r:id="rId3"/>
    <sheet name="4°" sheetId="4" r:id="rId4"/>
    <sheet name="5°" sheetId="5" r:id="rId5"/>
    <sheet name="6°" sheetId="6" r:id="rId6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2" l="1"/>
  <c r="E57" i="2"/>
  <c r="E8" i="6"/>
  <c r="D8" i="6"/>
  <c r="C8" i="6"/>
  <c r="E5" i="4"/>
  <c r="D5" i="4"/>
  <c r="C5" i="4"/>
  <c r="B5" i="4"/>
  <c r="E5" i="2" l="1"/>
</calcChain>
</file>

<file path=xl/sharedStrings.xml><?xml version="1.0" encoding="utf-8"?>
<sst xmlns="http://schemas.openxmlformats.org/spreadsheetml/2006/main" count="2589" uniqueCount="1798">
  <si>
    <t>Pregunta</t>
  </si>
  <si>
    <t>Respuesta Correcta</t>
  </si>
  <si>
    <t>Respuesta Incorrecta 1</t>
  </si>
  <si>
    <t>Respuesta Incorrecta 2</t>
  </si>
  <si>
    <t>Respuesta Incorrecta 3</t>
  </si>
  <si>
    <t>¿Cuánto es 2 + 3?</t>
  </si>
  <si>
    <t>¿De qué color es el césped de una cancha de fútbol?</t>
  </si>
  <si>
    <t>Verde</t>
  </si>
  <si>
    <t>Azul</t>
  </si>
  <si>
    <t>Amarillo</t>
  </si>
  <si>
    <t>Rojo</t>
  </si>
  <si>
    <t>¿Qué animal ladra y es la mascota más común?</t>
  </si>
  <si>
    <t>El perro</t>
  </si>
  <si>
    <t>El gato</t>
  </si>
  <si>
    <t>El caballo</t>
  </si>
  <si>
    <t>El pájaro</t>
  </si>
  <si>
    <t>Lionel Messi</t>
  </si>
  <si>
    <t>Cristiano Ronaldo</t>
  </si>
  <si>
    <t>Neymar</t>
  </si>
  <si>
    <t>Kylian Mbappé</t>
  </si>
  <si>
    <t>¿Qué vocal falta en la palabra "G_TO"?</t>
  </si>
  <si>
    <t>A</t>
  </si>
  <si>
    <t>E</t>
  </si>
  <si>
    <t>O</t>
  </si>
  <si>
    <t>I</t>
  </si>
  <si>
    <t>¿Qué forma tiene la pelota que se usa en el Mundial de fútbol?</t>
  </si>
  <si>
    <t>Esfera (redonda)</t>
  </si>
  <si>
    <t>Cubo (cuadrada)</t>
  </si>
  <si>
    <t>Triángulo</t>
  </si>
  <si>
    <t>Rectángulo</t>
  </si>
  <si>
    <t>Si tengo 5 caramelos y me como 2, ¿cuántos me quedan?</t>
  </si>
  <si>
    <t>¿Cuál es el color del sol?</t>
  </si>
  <si>
    <t>Morado</t>
  </si>
  <si>
    <t>Negro</t>
  </si>
  <si>
    <t>¿Qué objeto usamos para escribir y borrar en el cuaderno?</t>
  </si>
  <si>
    <t>Lápiz</t>
  </si>
  <si>
    <t>Cuchara</t>
  </si>
  <si>
    <t>Tenedor</t>
  </si>
  <si>
    <t>Cepillo</t>
  </si>
  <si>
    <t>¿Cómo se llama el trofeo que gana el mejor país en el Mundial?</t>
  </si>
  <si>
    <t>La Copa del Mundo</t>
  </si>
  <si>
    <t>La Medalla de Oro</t>
  </si>
  <si>
    <t>El Cinturón</t>
  </si>
  <si>
    <t>El Plato de Oro</t>
  </si>
  <si>
    <t>¿Qué letra va después de la "A" en el abecedario?</t>
  </si>
  <si>
    <t>B</t>
  </si>
  <si>
    <t>C</t>
  </si>
  <si>
    <t>D</t>
  </si>
  <si>
    <t>Z</t>
  </si>
  <si>
    <t>¿Cuál de estos animales puede volar alto en el cielo?</t>
  </si>
  <si>
    <t>El águila</t>
  </si>
  <si>
    <t>El elefante</t>
  </si>
  <si>
    <t>El pez</t>
  </si>
  <si>
    <t>¿Qué número va antes del 10?</t>
  </si>
  <si>
    <t>¿Qué usamos en los pies para poder jugar al fútbol sin lastimarnos?</t>
  </si>
  <si>
    <t>Zapatillas o botines</t>
  </si>
  <si>
    <t>Guantes</t>
  </si>
  <si>
    <t>Gorros</t>
  </si>
  <si>
    <t>Bufandas</t>
  </si>
  <si>
    <t>¿Cómo se llama el lugar donde vamos a aprender y a jugar con los amigos?</t>
  </si>
  <si>
    <t>La escuela</t>
  </si>
  <si>
    <t>El hospital</t>
  </si>
  <si>
    <t>El supermercado</t>
  </si>
  <si>
    <t>La comisaría</t>
  </si>
  <si>
    <t>¿Cuál es el animal más alto del mundo que tiene un cuello larguísimo?</t>
  </si>
  <si>
    <t>La jirafa</t>
  </si>
  <si>
    <t>El ratón</t>
  </si>
  <si>
    <t>El hipopótamo</t>
  </si>
  <si>
    <t>Si sumamos 5 + 5, ¿cuál es el resultado?</t>
  </si>
  <si>
    <t>¿Qué fruta es roja por fuera y blanca por dentro?</t>
  </si>
  <si>
    <t>La manzana</t>
  </si>
  <si>
    <t>El plátano</t>
  </si>
  <si>
    <t>la naranja</t>
  </si>
  <si>
    <t>El limón</t>
  </si>
  <si>
    <t>¿Cuántos tiempos tiene un partido de fútbol?</t>
  </si>
  <si>
    <t>¿Con qué sentido podemos escuchar nuestra música favorita?</t>
  </si>
  <si>
    <t>El oído</t>
  </si>
  <si>
    <t>La vista</t>
  </si>
  <si>
    <t>El gusto</t>
  </si>
  <si>
    <t>El tacto</t>
  </si>
  <si>
    <t>¿Qué palabra rima con "CASA"?</t>
  </si>
  <si>
    <t>Masa</t>
  </si>
  <si>
    <t>Pelo</t>
  </si>
  <si>
    <t>Sol</t>
  </si>
  <si>
    <t>Perro</t>
  </si>
  <si>
    <t>¿Cuántos días tiene una semana?</t>
  </si>
  <si>
    <t>¿Qué hace el arquero en un partido de fútbol?</t>
  </si>
  <si>
    <t>Atajar la pelota</t>
  </si>
  <si>
    <t>Meter los goles</t>
  </si>
  <si>
    <t>Cobrar las faltas</t>
  </si>
  <si>
    <t>Correr por toda la cancha</t>
  </si>
  <si>
    <t>¿Cuál es el número que representa "nada" o ninguna cosa?</t>
  </si>
  <si>
    <t>¿Qué estación del año es la más fría y a veces cae nieve?</t>
  </si>
  <si>
    <t>Invierno</t>
  </si>
  <si>
    <t>Verano</t>
  </si>
  <si>
    <t>Primavera</t>
  </si>
  <si>
    <t>Otoño</t>
  </si>
  <si>
    <t>¿Cuál es el océano donde viven las ballenas y los tiburones?</t>
  </si>
  <si>
    <t>El mar</t>
  </si>
  <si>
    <t>El río</t>
  </si>
  <si>
    <t>El lago</t>
  </si>
  <si>
    <t>¿Qué país ganó el Mundial de Qatar 2022?</t>
  </si>
  <si>
    <t>Argentina</t>
  </si>
  <si>
    <t>Francia</t>
  </si>
  <si>
    <t>Brasil</t>
  </si>
  <si>
    <t>Alemania</t>
  </si>
  <si>
    <t>La Luna</t>
  </si>
  <si>
    <t>El Sol</t>
  </si>
  <si>
    <t>Marte</t>
  </si>
  <si>
    <t>Júpiter</t>
  </si>
  <si>
    <t>¿Qué letra es la primera de la palabra "MAMÁ"?</t>
  </si>
  <si>
    <t>M</t>
  </si>
  <si>
    <t>P</t>
  </si>
  <si>
    <t>L</t>
  </si>
  <si>
    <t>S</t>
  </si>
  <si>
    <t>¿Cuál es el número que sigue después del 19?</t>
  </si>
  <si>
    <t>¿Qué objeto usa el árbitro para detener el partido de fútbol?</t>
  </si>
  <si>
    <t>Un silbato</t>
  </si>
  <si>
    <t>Una guitarra</t>
  </si>
  <si>
    <t>Una tarjeta de felicitación</t>
  </si>
  <si>
    <t>Un micrófono</t>
  </si>
  <si>
    <t>¿Qué animal vive en el agua y respira por branquias?</t>
  </si>
  <si>
    <t>El conejo</t>
  </si>
  <si>
    <t>El oso</t>
  </si>
  <si>
    <t>¿De qué color es la manzana madura más común?</t>
  </si>
  <si>
    <t>Roja</t>
  </si>
  <si>
    <t>Negra</t>
  </si>
  <si>
    <t>Morada</t>
  </si>
  <si>
    <t>¿Cuántas patas tiene una araña?</t>
  </si>
  <si>
    <t>¿Qué tarjeta saca el árbitro para expulsar a un jugador del partido?</t>
  </si>
  <si>
    <t>Tarjeta roja</t>
  </si>
  <si>
    <t>Tarjeta amarilla</t>
  </si>
  <si>
    <t>Tarjeta azul</t>
  </si>
  <si>
    <t>Tarjeta verde</t>
  </si>
  <si>
    <t>¿Cómo llamamos al agua que cae del cielo cuando se nubla?</t>
  </si>
  <si>
    <t>Lluvia</t>
  </si>
  <si>
    <t>Nieve</t>
  </si>
  <si>
    <t>Viento</t>
  </si>
  <si>
    <t>Trueno</t>
  </si>
  <si>
    <t>Si tienes 3 manzanas y tu mamá te regala 3 más, ¿cuántas tienes?</t>
  </si>
  <si>
    <t>¿Cuál de estos juguetes se eleva en el aire con el viento?</t>
  </si>
  <si>
    <t>El auto de juguete</t>
  </si>
  <si>
    <t>La pelota</t>
  </si>
  <si>
    <t>El peluche</t>
  </si>
  <si>
    <t>¿Cada cuántos años se juega un Mundial de fútbol?</t>
  </si>
  <si>
    <t>4 años</t>
  </si>
  <si>
    <t>Cada año</t>
  </si>
  <si>
    <t>2 años</t>
  </si>
  <si>
    <t>10 años</t>
  </si>
  <si>
    <t>¿Qué parte del cuerpo usamos para pensar?</t>
  </si>
  <si>
    <t>El cerebro</t>
  </si>
  <si>
    <t>El pie</t>
  </si>
  <si>
    <t>La mano</t>
  </si>
  <si>
    <t>El estómago</t>
  </si>
  <si>
    <t>¿Cuál es la última letra del abecedario?</t>
  </si>
  <si>
    <t>X</t>
  </si>
  <si>
    <t>Y</t>
  </si>
  <si>
    <t>¿Qué medio de transporte va por las vías y hace "chucu-chucu"?</t>
  </si>
  <si>
    <t>El tren</t>
  </si>
  <si>
    <t>El avión</t>
  </si>
  <si>
    <t>El coche</t>
  </si>
  <si>
    <t>El barco</t>
  </si>
  <si>
    <t>Gol</t>
  </si>
  <si>
    <t>Falta</t>
  </si>
  <si>
    <t>Corner</t>
  </si>
  <si>
    <t>Out</t>
  </si>
  <si>
    <t>¿Cuál de estos animales es un reptil que se arrastra por el suelo?</t>
  </si>
  <si>
    <t>La serpiente</t>
  </si>
  <si>
    <t>El loro</t>
  </si>
  <si>
    <t>¿Qué número es mayor: el 5 o el 8?</t>
  </si>
  <si>
    <t>El 8</t>
  </si>
  <si>
    <t>El 5</t>
  </si>
  <si>
    <t>Son iguales</t>
  </si>
  <si>
    <t>El 2</t>
  </si>
  <si>
    <t>¿De qué color es la nieve?</t>
  </si>
  <si>
    <t>Blanca</t>
  </si>
  <si>
    <t>Amarilla</t>
  </si>
  <si>
    <t>Marrón</t>
  </si>
  <si>
    <t>¿Qué animal nos da leche y dice "muuu"?</t>
  </si>
  <si>
    <t>La vaca</t>
  </si>
  <si>
    <t>El cerdo</t>
  </si>
  <si>
    <t>El pato</t>
  </si>
  <si>
    <t>La oveja</t>
  </si>
  <si>
    <t>¿Qué ropa nos ponemos en las manos cuando hace mucho frío?</t>
  </si>
  <si>
    <t>Calcetines</t>
  </si>
  <si>
    <t>Gorro</t>
  </si>
  <si>
    <t>Bufanda</t>
  </si>
  <si>
    <t>¿Quiénes son las personas que se sientan en las tribunas a alentar a su equipo?</t>
  </si>
  <si>
    <t>Los cocineros</t>
  </si>
  <si>
    <t>Los bomberos</t>
  </si>
  <si>
    <t>Los doctores</t>
  </si>
  <si>
    <t>¿Quién es el famoso capitán de la selección argentina?</t>
  </si>
  <si>
    <t>¿Cuáles son los colores de la selección Argentina?</t>
  </si>
  <si>
    <t>Azul y amarillo</t>
  </si>
  <si>
    <t>Celeste y blanco</t>
  </si>
  <si>
    <t>Rojo y blanco</t>
  </si>
  <si>
    <t>Gris y violeta</t>
  </si>
  <si>
    <t>La pileta</t>
  </si>
  <si>
    <t>¿Cómo se llama el satélite que vemos en el cielo por las noches?</t>
  </si>
  <si>
    <t>Barrilete</t>
  </si>
  <si>
    <t>¿Cómo se llama cuando la pelota entra en el arco?</t>
  </si>
  <si>
    <t>Los hinchas</t>
  </si>
  <si>
    <t>¿Cuánto es 12 + 5?</t>
  </si>
  <si>
    <t>¿Qué país es famoso por tener cinco estrellas en su escudo y haber ganado 5 Mundiales?</t>
  </si>
  <si>
    <t>España</t>
  </si>
  <si>
    <t>¿Cuál es el resultado de restar 20 menos 7?</t>
  </si>
  <si>
    <t>¿Qué signo usamos para sumar dos cantidades?</t>
  </si>
  <si>
    <t>+ (Más)</t>
  </si>
  <si>
    <t>- (Menos)</t>
  </si>
  <si>
    <t>x (Por)</t>
  </si>
  <si>
    <t>¿Qué animal es conocido como el "Rey de la selva"?</t>
  </si>
  <si>
    <t>El león</t>
  </si>
  <si>
    <t>El tigre</t>
  </si>
  <si>
    <t>¿Cómo se llama el jugador que puede usar las manos dentro del área en el fútbol?</t>
  </si>
  <si>
    <t>El delantero</t>
  </si>
  <si>
    <t>El defensor</t>
  </si>
  <si>
    <t>El árbitro</t>
  </si>
  <si>
    <t>¿Qué planeta es conocido como el "Planeta Azul" porque tiene mucha agua?</t>
  </si>
  <si>
    <t>La Tierra</t>
  </si>
  <si>
    <t>Saturno</t>
  </si>
  <si>
    <t>¿Cuál de estas palabras es un nombre propio y debe ir con mayúscula?</t>
  </si>
  <si>
    <t>Mateo</t>
  </si>
  <si>
    <t>pelota</t>
  </si>
  <si>
    <t>estadio</t>
  </si>
  <si>
    <t>camiseta</t>
  </si>
  <si>
    <t>¿Cuántos minutos dura un partido de fútbol completo (sin contar el entretiempo)?</t>
  </si>
  <si>
    <t>90 minutos</t>
  </si>
  <si>
    <t>60 minutos</t>
  </si>
  <si>
    <t>45 minutos</t>
  </si>
  <si>
    <t>80 minutos</t>
  </si>
  <si>
    <t>¿Qué número se forma con 3 decenas y 5 unidades?</t>
  </si>
  <si>
    <t>¿Quién es el director técnico que dirigió a Argentina cuando ganaron el Mundial de Qatar?</t>
  </si>
  <si>
    <t>Lionel Scaloni</t>
  </si>
  <si>
    <t>Diego Maradona</t>
  </si>
  <si>
    <t>Pep Guardiola</t>
  </si>
  <si>
    <t>¿Cuál es el abecedario correcto de las primeras cuatro letras?</t>
  </si>
  <si>
    <t>A - B - C - D</t>
  </si>
  <si>
    <t>A - C - B - D</t>
  </si>
  <si>
    <t>A - B - D - C</t>
  </si>
  <si>
    <t>Z - Y - X - W</t>
  </si>
  <si>
    <t>¿Qué órgano de nuestro cuerpo late todo el tiempo para bombear la sangre?</t>
  </si>
  <si>
    <t>El corazón</t>
  </si>
  <si>
    <t>Los pulmones</t>
  </si>
  <si>
    <t>Italia</t>
  </si>
  <si>
    <t>¿Cómo se llama el triángulo que tiene tres lados iguales?</t>
  </si>
  <si>
    <t>Equilátero</t>
  </si>
  <si>
    <t>Isósceles</t>
  </si>
  <si>
    <t>Escaleno</t>
  </si>
  <si>
    <t>Cuadrado</t>
  </si>
  <si>
    <t>¿Qué letra falta para completar la palabra "CO_A DEL MUNDO"?</t>
  </si>
  <si>
    <t>T</t>
  </si>
  <si>
    <t>¿Cuál es el animal que vive en el agua, es enorme y no es un pez sino un mamífero?</t>
  </si>
  <si>
    <t>La ballena</t>
  </si>
  <si>
    <t>El tiburón</t>
  </si>
  <si>
    <t>El pulpo</t>
  </si>
  <si>
    <t>El cangrejo</t>
  </si>
  <si>
    <t>¿Cuántos jugadores de un mismo equipo entran a la cancha a jugar un partido de fútbol?</t>
  </si>
  <si>
    <t>¿Qué estación del año viene después del invierno y está llena de flores?</t>
  </si>
  <si>
    <t>Tormenta</t>
  </si>
  <si>
    <t>¿Cuál es el doble de 8?</t>
  </si>
  <si>
    <t>¿De qué país es la selección conocida como "La Roja"?</t>
  </si>
  <si>
    <t>¿Qué palabra significa lo contrario de "RÁPIDO"?</t>
  </si>
  <si>
    <t>Lento</t>
  </si>
  <si>
    <t>Veloz</t>
  </si>
  <si>
    <t>Correr</t>
  </si>
  <si>
    <t>Alto</t>
  </si>
  <si>
    <t>Si el partido empieza a las 4 en punto y dura dos horas, ¿a qué hora termina?</t>
  </si>
  <si>
    <t>A las 6</t>
  </si>
  <si>
    <t>A las 5</t>
  </si>
  <si>
    <t>A las 7</t>
  </si>
  <si>
    <t>A las 4 y media</t>
  </si>
  <si>
    <t>¿Qué figura geométrica tiene 4 lados exactamente iguales?</t>
  </si>
  <si>
    <t>El cuadrado</t>
  </si>
  <si>
    <t>El triángulo</t>
  </si>
  <si>
    <t>El rectángulo</t>
  </si>
  <si>
    <t>El círculo</t>
  </si>
  <si>
    <t>¿Qué elemento de la naturaleza necesitan las plantas para respirar y fabricar su alimento?</t>
  </si>
  <si>
    <t>Aire y luz del sol</t>
  </si>
  <si>
    <t>Chocolate</t>
  </si>
  <si>
    <t>Juguetes</t>
  </si>
  <si>
    <t>Arena fina</t>
  </si>
  <si>
    <t>¿Qué palabra está bien escrita?</t>
  </si>
  <si>
    <t>Fútbol</t>
  </si>
  <si>
    <t>Fútvol</t>
  </si>
  <si>
    <t>Fubol</t>
  </si>
  <si>
    <t>Vutbol</t>
  </si>
  <si>
    <t>¿Cuántos días tiene un año normal?</t>
  </si>
  <si>
    <t>365 días</t>
  </si>
  <si>
    <t>100 días</t>
  </si>
  <si>
    <t>30 días</t>
  </si>
  <si>
    <t>24 días</t>
  </si>
  <si>
    <t>¿Qué tarjeta muestra el árbitro para dar una advertencia o "piso de atención" a un jugador?</t>
  </si>
  <si>
    <t>¿Cuánto es 50 + 50?</t>
  </si>
  <si>
    <t>¿Qué animalito se transforma en mariposa después de estar en un capullo?</t>
  </si>
  <si>
    <t>La oruga</t>
  </si>
  <si>
    <t>El gusano de tierra</t>
  </si>
  <si>
    <t>La hormiga</t>
  </si>
  <si>
    <t>La abeja</t>
  </si>
  <si>
    <t>¿En qué continente queda el país de Brasil?</t>
  </si>
  <si>
    <t>América</t>
  </si>
  <si>
    <t>Europa</t>
  </si>
  <si>
    <t>Asia</t>
  </si>
  <si>
    <t>África</t>
  </si>
  <si>
    <t>¿Qué tipo de palabra es "correr", "saltar" y "patear"?</t>
  </si>
  <si>
    <t>Verbos (acciones)</t>
  </si>
  <si>
    <t>Nombres</t>
  </si>
  <si>
    <t>Colores</t>
  </si>
  <si>
    <t>Números</t>
  </si>
  <si>
    <t>¿Cuántas horas tiene un día entero?</t>
  </si>
  <si>
    <t>24 horas</t>
  </si>
  <si>
    <t>12 horas</t>
  </si>
  <si>
    <t>60 horas</t>
  </si>
  <si>
    <t>10 horas</t>
  </si>
  <si>
    <t>¿Cómo se llama el estadio flotante o los lugares gigantes donde se juegan los partidos del Mundial?</t>
  </si>
  <si>
    <t>Estadios</t>
  </si>
  <si>
    <t>Parques</t>
  </si>
  <si>
    <t>Pistas</t>
  </si>
  <si>
    <t>Gimnasios</t>
  </si>
  <si>
    <t>¿Cuál es el resultado de 3 x 2?</t>
  </si>
  <si>
    <t>¿Qué gas del aire respiramos los seres humanos para poder vivir?</t>
  </si>
  <si>
    <t>Oxígeno</t>
  </si>
  <si>
    <t>Humo</t>
  </si>
  <si>
    <t>Agua</t>
  </si>
  <si>
    <t>Gas carbónico</t>
  </si>
  <si>
    <t>¿Cómo se le llama al gol que un jugador mete sin querer en el arco de su propio equipo?</t>
  </si>
  <si>
    <t>Gol en contra (Autogol)</t>
  </si>
  <si>
    <t>Golazo</t>
  </si>
  <si>
    <t>Penalti</t>
  </si>
  <si>
    <t>¿Qué letra mayúscula se usa siempre después de un punto seguido?</t>
  </si>
  <si>
    <t>Mayúscula</t>
  </si>
  <si>
    <t>Minúscula</t>
  </si>
  <si>
    <t>Cursiva</t>
  </si>
  <si>
    <t>Imprenta chica</t>
  </si>
  <si>
    <t>Si tienes 15 figuritas del Mundial y le regalas 5 a tu mejor amigo, ¿cuántas te quedan?</t>
  </si>
  <si>
    <t>¿Cuál es el metal brillante del que está hecha la medalla del primer lugar?</t>
  </si>
  <si>
    <t>Oro</t>
  </si>
  <si>
    <t>Plata</t>
  </si>
  <si>
    <t>Bronce</t>
  </si>
  <si>
    <t>Cobre</t>
  </si>
  <si>
    <t>¿Qué animal tiene rayas negras y blancas y se parece a un caballo?</t>
  </si>
  <si>
    <t>La cebra</t>
  </si>
  <si>
    <t>El leopardo</t>
  </si>
  <si>
    <t>El burro</t>
  </si>
  <si>
    <t>¿Cómo se llama la línea blanca que divide la cancha de fútbol exactamente a la mitad?</t>
  </si>
  <si>
    <t>Línea media</t>
  </si>
  <si>
    <t>Línea de fondo</t>
  </si>
  <si>
    <t>Área chica</t>
  </si>
  <si>
    <t>Línea de gol</t>
  </si>
  <si>
    <t>¿Cuál es el número más grande: 89 o 98?</t>
  </si>
  <si>
    <t>¿Qué instrumento usan los astrónomos para mirar las estrellas y planetas desde la Tierra?</t>
  </si>
  <si>
    <t>Telescopio</t>
  </si>
  <si>
    <t>Microscopio</t>
  </si>
  <si>
    <t>Lupa</t>
  </si>
  <si>
    <t>Gafas de sol</t>
  </si>
  <si>
    <t>¿En qué parte del cuerpo se pone la cinta del "Capitán" de un equipo de fútbol?</t>
  </si>
  <si>
    <t>En el brazo</t>
  </si>
  <si>
    <t>En la pierna</t>
  </si>
  <si>
    <t>En la cabeza</t>
  </si>
  <si>
    <t>En la cintura</t>
  </si>
  <si>
    <t>¿Cuál de estos alimentos pertenece al grupo de los lácteos?</t>
  </si>
  <si>
    <t>El queso</t>
  </si>
  <si>
    <t>El pan</t>
  </si>
  <si>
    <t>La carne</t>
  </si>
  <si>
    <t>¿Cuántas unidades hay en una docena de huevos?</t>
  </si>
  <si>
    <t>¿Qué gritan todos los jugadores y la hinchada cuando la pelota entra por completo al arco?</t>
  </si>
  <si>
    <t>¡Gol!</t>
  </si>
  <si>
    <t>¡Falta!</t>
  </si>
  <si>
    <t>¡Fuera!</t>
  </si>
  <si>
    <t>¡Tiempo!</t>
  </si>
  <si>
    <t>El arquero</t>
  </si>
  <si>
    <t>Si una pelota cuesta $10 y compras dos, ¿cuánto dinero gastas?</t>
  </si>
  <si>
    <t>¿Qué país europeo llegó a la final contra Argentina en 2022?</t>
  </si>
  <si>
    <t>¿Dónde se celebra el mundial de Fútbol de 2026?</t>
  </si>
  <si>
    <t>Estados Unidos, México y Canadá</t>
  </si>
  <si>
    <t>Qatar</t>
  </si>
  <si>
    <t>España y Portugal</t>
  </si>
  <si>
    <t>¿Cuál es el resultado de multiplicar 4 x 8?</t>
  </si>
  <si>
    <t>Estados Unidos</t>
  </si>
  <si>
    <t>México</t>
  </si>
  <si>
    <t>Canadá</t>
  </si>
  <si>
    <t>¿Qué palabra es el sinónimo de "feliz"?</t>
  </si>
  <si>
    <t>Contento</t>
  </si>
  <si>
    <t>Enojado</t>
  </si>
  <si>
    <t>Triste</t>
  </si>
  <si>
    <t>Aburrido</t>
  </si>
  <si>
    <t>¿Cómo se llama el triángulo que tiene sus tres lados de longitudes diferentes?</t>
  </si>
  <si>
    <t>¿Qué famoso jugador portugués es conocido en todo el mundo como "CR7"?</t>
  </si>
  <si>
    <t>Luis Figo</t>
  </si>
  <si>
    <t>Bernardo Silva</t>
  </si>
  <si>
    <t>Bruno Fernandes</t>
  </si>
  <si>
    <t>¿Cuántos años hay en un siglo?</t>
  </si>
  <si>
    <t>100 años</t>
  </si>
  <si>
    <t>1000 años</t>
  </si>
  <si>
    <t>50 años</t>
  </si>
  <si>
    <t>¿Qué tipo de palabra es "rápidamente"?</t>
  </si>
  <si>
    <t>Adverbio</t>
  </si>
  <si>
    <t>Sustantivo</t>
  </si>
  <si>
    <t>Verbo</t>
  </si>
  <si>
    <t>Adjetivo</t>
  </si>
  <si>
    <t>Si un partido de fútbol tiene dos tiempos de 45 minutos, ¿cuánto suma el tiempo reglamentario total?</t>
  </si>
  <si>
    <t>100 minutos</t>
  </si>
  <si>
    <t>¿Qué número se obtiene si sumamos 150 + 250?</t>
  </si>
  <si>
    <t>¿Cuál es el río más largo y caudaloso del mundo, ubicado en América del Sur?</t>
  </si>
  <si>
    <t>Amazonas</t>
  </si>
  <si>
    <t>Nilo</t>
  </si>
  <si>
    <t>Misisipi</t>
  </si>
  <si>
    <t>Paraná</t>
  </si>
  <si>
    <t>¿Qué selección del mundo tiene el récord de haber ganado más copas del mundo en la historia?</t>
  </si>
  <si>
    <t>¿Cuántas sílabas tiene la palabra "mariposa"?</t>
  </si>
  <si>
    <t>¿Qué línea imaginaria divide a la Tierra en el Hemisferio Norte y el Hemisferio Sur?</t>
  </si>
  <si>
    <t>El Ecuador</t>
  </si>
  <si>
    <t>El Meridiano de Greenwich</t>
  </si>
  <si>
    <t>El Trópico de Cáncer</t>
  </si>
  <si>
    <t>El Eje Polar</t>
  </si>
  <si>
    <t>¿Qué país organizó y ganó el primer Mundial de fútbol de la historia en 1930?</t>
  </si>
  <si>
    <t>Uruguay</t>
  </si>
  <si>
    <t>Si compro 3 paquetes de figuritas y cada uno trae 5, ¿cuántas figuritas tengo en total?</t>
  </si>
  <si>
    <t>¿Qué estado de la materia tiene el agua cuando se convierte en hielo?</t>
  </si>
  <si>
    <t>Sólido</t>
  </si>
  <si>
    <t>Líquido</t>
  </si>
  <si>
    <t>Gaseoso</t>
  </si>
  <si>
    <t>Plasma</t>
  </si>
  <si>
    <t>¿Cuál es la capital de Argentina, el país campeón en Qatar 2022?</t>
  </si>
  <si>
    <t>Buenos Aires</t>
  </si>
  <si>
    <t>Córdoba</t>
  </si>
  <si>
    <t>Rosario</t>
  </si>
  <si>
    <t>Madrid</t>
  </si>
  <si>
    <t>¿Cómo se escribe el número 4 en números romanos?</t>
  </si>
  <si>
    <t>IV</t>
  </si>
  <si>
    <t>IIII</t>
  </si>
  <si>
    <t>VI</t>
  </si>
  <si>
    <t>V</t>
  </si>
  <si>
    <t>¿Qué jugador argentino anotó el famoso gol histórico conocido como "La Mano de Dios" en 1986?</t>
  </si>
  <si>
    <t>Mario Kempes</t>
  </si>
  <si>
    <t>Gabriel Batistuta</t>
  </si>
  <si>
    <t>En la oración "El perro negro corre", ¿cuál es el adjetivo calificativo?</t>
  </si>
  <si>
    <t>Corre</t>
  </si>
  <si>
    <t>El</t>
  </si>
  <si>
    <t>¿Cuántos gramos hay en un kilo?</t>
  </si>
  <si>
    <t>1000 gramos</t>
  </si>
  <si>
    <t>100 gramos</t>
  </si>
  <si>
    <t>500 gramos</t>
  </si>
  <si>
    <t>10 gramos</t>
  </si>
  <si>
    <t>¿Cómo se llama la jugada donde un futbolista patea la pelota en el aire de espaldas al arco?</t>
  </si>
  <si>
    <t>Palomita</t>
  </si>
  <si>
    <t>Taquito</t>
  </si>
  <si>
    <t>Rabona</t>
  </si>
  <si>
    <t>¿Cuál es el planeta más grande de nuestro sistema solar?</t>
  </si>
  <si>
    <t>¿Cuál de estas palabras lleva tilde porque es aguda terminada en vocal?</t>
  </si>
  <si>
    <t>Jugó</t>
  </si>
  <si>
    <t>Cancha</t>
  </si>
  <si>
    <t>Pelota</t>
  </si>
  <si>
    <t>¿Qué parte de la planta absorbe el agua y los nutrientes del suelo?</t>
  </si>
  <si>
    <t>La raíz</t>
  </si>
  <si>
    <t>Las hojas</t>
  </si>
  <si>
    <t>El tallo</t>
  </si>
  <si>
    <t>La flor</t>
  </si>
  <si>
    <t>¿Qué jugada se cobra cuando un defensor comete una falta adentro de su propia área?</t>
  </si>
  <si>
    <t>Penal</t>
  </si>
  <si>
    <t>Tiro libre directo</t>
  </si>
  <si>
    <t>Córner</t>
  </si>
  <si>
    <t>Lateral</t>
  </si>
  <si>
    <t>¿Cuánto es la mitad de 150?</t>
  </si>
  <si>
    <t>¿Qué país tiene forma de bota en el mapa de Europa y ha ganado 4 Mundiales?</t>
  </si>
  <si>
    <t>¿Qué tipo de animal es la ballena según su nacimiento?</t>
  </si>
  <si>
    <t>Mamífero vivíparo</t>
  </si>
  <si>
    <t>Ave ovípara</t>
  </si>
  <si>
    <t>Reptil</t>
  </si>
  <si>
    <t>Anfibio</t>
  </si>
  <si>
    <t>¿Qué letra va siempre antes de la 'P' y la 'B' en palabras como "campo" o "tambor"?</t>
  </si>
  <si>
    <t>N</t>
  </si>
  <si>
    <t>Si un partido va 2 a 2 y se juegan 30 minutos extras para desempatar, ¿cómo se llama ese tiempo?</t>
  </si>
  <si>
    <t>Penales</t>
  </si>
  <si>
    <t>Entretiempo</t>
  </si>
  <si>
    <t>Descuento</t>
  </si>
  <si>
    <t>¿Qué hueso largo tenemos en el muslo y es el más largo del cuerpo humano?</t>
  </si>
  <si>
    <t>Fémur</t>
  </si>
  <si>
    <t>Costilla</t>
  </si>
  <si>
    <t>Cráneo</t>
  </si>
  <si>
    <t>Radio</t>
  </si>
  <si>
    <t>¿Cuánto da la operación matemática 100 - 35?</t>
  </si>
  <si>
    <t>¿Qué selección africana hizo historia al llegar por primera vez a las semifinales en Qatar 2022?</t>
  </si>
  <si>
    <t>Marruecos</t>
  </si>
  <si>
    <t>Senegal</t>
  </si>
  <si>
    <t>Camerún</t>
  </si>
  <si>
    <t>Ghana</t>
  </si>
  <si>
    <t>¿Cómo se les llama a los animales que comen tanto plantas como carne?</t>
  </si>
  <si>
    <t>Omnívoros</t>
  </si>
  <si>
    <t>Herbívoros</t>
  </si>
  <si>
    <t>Carnívoros</t>
  </si>
  <si>
    <t>Insectívoros</t>
  </si>
  <si>
    <t>¿Cuál es el resultado de dividir 24 entre 6?</t>
  </si>
  <si>
    <t>¿Qué ciudad del mundo es famosa por tener la Torre Eiffel?</t>
  </si>
  <si>
    <t>París</t>
  </si>
  <si>
    <t>Londres</t>
  </si>
  <si>
    <t>Roma</t>
  </si>
  <si>
    <t>¿Cómo se llama el torneo donde juegan los mejores clubes de Europa, diferente al Mundial?</t>
  </si>
  <si>
    <t>Champions League</t>
  </si>
  <si>
    <t>Copa América</t>
  </si>
  <si>
    <t>Copa del Mundo</t>
  </si>
  <si>
    <t>Copa Libertadores</t>
  </si>
  <si>
    <t>¿Qué sistema de nuestro cuerpo nos permite movernos y sostiene nuestros músculos?</t>
  </si>
  <si>
    <t>Sistema digestivo</t>
  </si>
  <si>
    <t>Sistema respiratorio</t>
  </si>
  <si>
    <t>Sistema circulatorio</t>
  </si>
  <si>
    <t>¿Qué palabra es el antónimo de "construir"?</t>
  </si>
  <si>
    <t>Destruir</t>
  </si>
  <si>
    <t>Hacer</t>
  </si>
  <si>
    <t>Crear</t>
  </si>
  <si>
    <t>Pintar</t>
  </si>
  <si>
    <t>Si un atleta corre 2 kilómetros, ¿cuántos metros recorrió en total?</t>
  </si>
  <si>
    <t>2000 metros</t>
  </si>
  <si>
    <t>200 metros</t>
  </si>
  <si>
    <t>20 metros</t>
  </si>
  <si>
    <t>5000 metros</t>
  </si>
  <si>
    <t>¿Quién es el jugador francés que anotó tres goles en la final del Mundial 2022?</t>
  </si>
  <si>
    <t>Antoine Griezmann</t>
  </si>
  <si>
    <t>Karim Benzema</t>
  </si>
  <si>
    <t>Olivier Giroud</t>
  </si>
  <si>
    <t>¿Cuál de los siguientes cuerpos geométricos no tiene esquinas ni caras planas?</t>
  </si>
  <si>
    <t>Esfera</t>
  </si>
  <si>
    <t>Cubo</t>
  </si>
  <si>
    <t>Prisma</t>
  </si>
  <si>
    <t>Pirámide</t>
  </si>
  <si>
    <t>¿Cuál es el idioma oficial que se habla en Brasil?</t>
  </si>
  <si>
    <t>Portugués</t>
  </si>
  <si>
    <t>Español</t>
  </si>
  <si>
    <t>Inglés</t>
  </si>
  <si>
    <t>Francés</t>
  </si>
  <si>
    <t>¿Qué herramienta tecnológica ayuda hoy a los árbitros revisando las jugadas con cámaras de televisión?</t>
  </si>
  <si>
    <t>VAR</t>
  </si>
  <si>
    <t>GPS</t>
  </si>
  <si>
    <t>Wifi</t>
  </si>
  <si>
    <t>Radar</t>
  </si>
  <si>
    <t>¿Cuántos meses tiene un año entero?</t>
  </si>
  <si>
    <t>En el cuento de Caperucita Roja, ¿quién es el personaje que se disfraza de la abuela?</t>
  </si>
  <si>
    <t>El lobo feroz</t>
  </si>
  <si>
    <t>El cazador</t>
  </si>
  <si>
    <t>El leñador</t>
  </si>
  <si>
    <t>El príncipe</t>
  </si>
  <si>
    <t>¿Qué color resulta de mezclar pintura azul y pintura amarilla?</t>
  </si>
  <si>
    <t>Naranja</t>
  </si>
  <si>
    <t>¿Cómo se le llama al jugador que se sitúa justo detrás de los delanteros para armar el juego?</t>
  </si>
  <si>
    <t>Mediocampista (o volante)</t>
  </si>
  <si>
    <t>Arquero</t>
  </si>
  <si>
    <t>Defensor central</t>
  </si>
  <si>
    <t>¿Cuántos minutos extras dura cada uno de los dos tiempos que se juegan en una prórroga?</t>
  </si>
  <si>
    <t>15 minutos</t>
  </si>
  <si>
    <t>10 minutos</t>
  </si>
  <si>
    <t>5 minutos</t>
  </si>
  <si>
    <t>¿En qué país de Norteamérica se jugará la final del próximo Mundial?</t>
  </si>
  <si>
    <t>Chilena</t>
  </si>
  <si>
    <t>Tiempo suplementario</t>
  </si>
  <si>
    <t xml:space="preserve">Sistema óseo </t>
  </si>
  <si>
    <t>¿Cuál es el resultado de multiplicar 12 x 5?</t>
  </si>
  <si>
    <t>¿Qué país tiene el récord de haber jugado todas las ediciones de los Mundiales de la historia?</t>
  </si>
  <si>
    <t>¿Qué tipo de palabra es "teléfono" según su acentuación?</t>
  </si>
  <si>
    <t>Esdrújula</t>
  </si>
  <si>
    <t>Aguda</t>
  </si>
  <si>
    <t>Grave</t>
  </si>
  <si>
    <t>Sobreesdrújula</t>
  </si>
  <si>
    <t>¿Qué fracción representa la mitad de una pizza?</t>
  </si>
  <si>
    <t>¿Cuál es el mayor goleador histórico en la historia de los Mundiales masculinos de fútbol?</t>
  </si>
  <si>
    <t>Miroslav Klose</t>
  </si>
  <si>
    <t>Pelé</t>
  </si>
  <si>
    <t>Ronaldo Nazário</t>
  </si>
  <si>
    <t>¿Qué movimiento de la Tierra tarda 365 días y da origen a las cuatro estaciones?</t>
  </si>
  <si>
    <t>Traslación</t>
  </si>
  <si>
    <t>Rotación</t>
  </si>
  <si>
    <t>Nutación</t>
  </si>
  <si>
    <t>Precesión</t>
  </si>
  <si>
    <t>¿Cuál es el resultado de dividir 100 entre 4?</t>
  </si>
  <si>
    <t>¿En qué continente se encuentra el desierto del Sahara?</t>
  </si>
  <si>
    <t>Oceanía</t>
  </si>
  <si>
    <t>¿Qué selección nacional eliminó por penales a los Países Bajos en los cuartos de final de Qatar 2022?</t>
  </si>
  <si>
    <t>Croacia</t>
  </si>
  <si>
    <t>¿Cómo se llama el proceso por el cual las plantas fabrican su propio alimento?</t>
  </si>
  <si>
    <t>Fotosíntesis</t>
  </si>
  <si>
    <t>Respiración</t>
  </si>
  <si>
    <t>Transpiración</t>
  </si>
  <si>
    <t>Digestión</t>
  </si>
  <si>
    <t>¿Qué número romano representa el número 50?</t>
  </si>
  <si>
    <t>¿Cuál de estas palabras es un sustantivo colectivo?</t>
  </si>
  <si>
    <t>Jauría</t>
  </si>
  <si>
    <t>Lobos</t>
  </si>
  <si>
    <t>Animales</t>
  </si>
  <si>
    <t>¿En qué año se fundó la FIFA, la organización que gobierna el fútbol mundial?</t>
  </si>
  <si>
    <t>Si un ángulo mide exactamente 90 grados, ¿cómo se le llama?</t>
  </si>
  <si>
    <t>Recto</t>
  </si>
  <si>
    <t>Agudo</t>
  </si>
  <si>
    <t>Obtuso</t>
  </si>
  <si>
    <t>Llano</t>
  </si>
  <si>
    <t>¿Qué gas es indispensable para que los seres humanos podamos respirar?</t>
  </si>
  <si>
    <t>Dióxido de carbono</t>
  </si>
  <si>
    <t>Nitrógeno</t>
  </si>
  <si>
    <t>Hidrógeno</t>
  </si>
  <si>
    <t>¿Cuál es la capital de España, país campeón del mundo en 2010?</t>
  </si>
  <si>
    <t>Barcelona</t>
  </si>
  <si>
    <t>Sevilla</t>
  </si>
  <si>
    <t>Valencia</t>
  </si>
  <si>
    <t>¿Cuántos años transcurren en una década?</t>
  </si>
  <si>
    <t>5 años</t>
  </si>
  <si>
    <t>¿Qué famosa copa de clubes enfrenta anualmente a los mejores equipos de Sudamérica?</t>
  </si>
  <si>
    <t>Europa League</t>
  </si>
  <si>
    <t>¿Cuál es el resultado de la operación 350 + 450 - 200?</t>
  </si>
  <si>
    <t>¿Cómo se llama el líquido espeso y rojo que viaja por nuestras arterias y venas?</t>
  </si>
  <si>
    <t>Sangre</t>
  </si>
  <si>
    <t>Saliva</t>
  </si>
  <si>
    <t>¿Qué jugador es conocido como "O Rei" (El Rey) y ganó tres Mundiales con Brasil?</t>
  </si>
  <si>
    <t>Ronaldinho</t>
  </si>
  <si>
    <t>Ronaldo</t>
  </si>
  <si>
    <t>¿Cuál de los siguientes verbos está en tiempo pasado?</t>
  </si>
  <si>
    <t>Escribió</t>
  </si>
  <si>
    <t>Escribe</t>
  </si>
  <si>
    <t>Escribirá</t>
  </si>
  <si>
    <t>Escribir</t>
  </si>
  <si>
    <t>¿Cuál es el planeta más cercano al Sol en nuestro sistema solar?</t>
  </si>
  <si>
    <t>Mercurio</t>
  </si>
  <si>
    <t>Venus</t>
  </si>
  <si>
    <t>Tierra</t>
  </si>
  <si>
    <t>¿Qué país sudamericano organizó el Mundial de fútbol en el año 2014?</t>
  </si>
  <si>
    <t>Chile</t>
  </si>
  <si>
    <t>Colombia</t>
  </si>
  <si>
    <t>¿Cuánto es 1.500 metros expresado en kilómetros?</t>
  </si>
  <si>
    <t>1,5 km</t>
  </si>
  <si>
    <t>15 km</t>
  </si>
  <si>
    <t>0,15 km</t>
  </si>
  <si>
    <t>150 km</t>
  </si>
  <si>
    <t>¿Qué cordillera, la más larga del mundo, pasa por el oeste de América del Sur?</t>
  </si>
  <si>
    <t>Cordillera de los Andes</t>
  </si>
  <si>
    <t>Los Alpes</t>
  </si>
  <si>
    <t>El Himalaya</t>
  </si>
  <si>
    <t>Los Pirineos</t>
  </si>
  <si>
    <t>¿Cómo se llama la infracción que ocurre cuando un delantero recibe la pelota por delante del último defensor contrario?</t>
  </si>
  <si>
    <t>Fuera de juego (Offside)</t>
  </si>
  <si>
    <t>Falta técnica</t>
  </si>
  <si>
    <t>Saque de arco</t>
  </si>
  <si>
    <t>¿Cuál es el abecedario correcto de los tres estados principales de la materia?</t>
  </si>
  <si>
    <t>Sólido, líquido y gaseoso</t>
  </si>
  <si>
    <t>Agua, tierra y aire</t>
  </si>
  <si>
    <t>Calor, frío y templado</t>
  </si>
  <si>
    <t>Oro, plata y bronce</t>
  </si>
  <si>
    <t>¿Cuántos lados tiene un cuerpo geométrico llamado hexágono?</t>
  </si>
  <si>
    <t>¿Qué regla ortográfica nos dice cuándo usar la "b" o la "v" en la palabra "cambio"?</t>
  </si>
  <si>
    <t>Antes de 'b' y 'p' se escribe 'm'</t>
  </si>
  <si>
    <t>Se escribe 'v' después de 'n'</t>
  </si>
  <si>
    <t>Las palabras con 'b' llevan tilde</t>
  </si>
  <si>
    <t>Siempre va 'b' al final</t>
  </si>
  <si>
    <t>¿En qué Mundial se utilizó por primera vez la tecnología del VAR?</t>
  </si>
  <si>
    <t>Rusia 2018</t>
  </si>
  <si>
    <t>Brasil 2014</t>
  </si>
  <si>
    <t>Qatar 2022</t>
  </si>
  <si>
    <t>Sudáfrica 2010</t>
  </si>
  <si>
    <t>Si el perímetro de un cuadrado mide 20 cm, ¿cuánto mide cada uno de sus lados?</t>
  </si>
  <si>
    <t>5 cm</t>
  </si>
  <si>
    <t>10 cm</t>
  </si>
  <si>
    <t>4 cm</t>
  </si>
  <si>
    <t>2 cm</t>
  </si>
  <si>
    <t>¿Qué animal invertebrado produce la miel que consumimos?</t>
  </si>
  <si>
    <t>La mariposa</t>
  </si>
  <si>
    <t>La avispa</t>
  </si>
  <si>
    <t>¿Qué selección europea usa una camiseta naranja y es conocida como "La Naranja Mecánica"?</t>
  </si>
  <si>
    <t>Países Bajos (Holanda)</t>
  </si>
  <si>
    <t>Bélgica</t>
  </si>
  <si>
    <t>En la oración "Ellos juegan muy bien", ¿cuál es el pronombre personal?</t>
  </si>
  <si>
    <t>Ellos</t>
  </si>
  <si>
    <t>Juegan</t>
  </si>
  <si>
    <t>Muy</t>
  </si>
  <si>
    <t>Bien</t>
  </si>
  <si>
    <t>¿Cuál es el órgano principal del sistema nervioso que controla todo el cuerpo?</t>
  </si>
  <si>
    <t>El hígado</t>
  </si>
  <si>
    <t>¿Qué país organizó el Mundial de 1994, donde el fútbol empezó a ser muy popular en Norteamérica?</t>
  </si>
  <si>
    <t>Costa Rica</t>
  </si>
  <si>
    <t>¿Cuánto da la multiplicación de 9 x 7?</t>
  </si>
  <si>
    <t>¿Qué océano separa al continente americano del continente europeo y africano?</t>
  </si>
  <si>
    <t>Océano Atlántico</t>
  </si>
  <si>
    <t>Océano Pacífico</t>
  </si>
  <si>
    <t>Océano Índico</t>
  </si>
  <si>
    <t>Océano Ártico</t>
  </si>
  <si>
    <t>¿Qué jugador inglés es famoso por sus tiros libres y por haber jugado en el Real Madrid y Manchester United?</t>
  </si>
  <si>
    <t>David Beckham</t>
  </si>
  <si>
    <t>Harry Kane</t>
  </si>
  <si>
    <t>Wayne Rooney</t>
  </si>
  <si>
    <t>Steven Gerrard</t>
  </si>
  <si>
    <t>¿Qué tipo de mezcla es el agua con sal si no se pueden distinguir sus componentes a simple vista?</t>
  </si>
  <si>
    <t>Homogénea</t>
  </si>
  <si>
    <t>Heterogénea</t>
  </si>
  <si>
    <t>Química</t>
  </si>
  <si>
    <t>Pura</t>
  </si>
  <si>
    <t>¿Cuál es el triple del número 15?</t>
  </si>
  <si>
    <t>¿Qué parte de la flor se encarga de atraer a los insectos polinizadores gracias a sus colores?</t>
  </si>
  <si>
    <t>Los pétalos</t>
  </si>
  <si>
    <t>¿Cómo se le llama al partido amistoso que juegan las selecciones antes de empezar el Mundial?</t>
  </si>
  <si>
    <t>Partido de preparación</t>
  </si>
  <si>
    <t>Final</t>
  </si>
  <si>
    <t>Eliminatoria</t>
  </si>
  <si>
    <t>Prórroga</t>
  </si>
  <si>
    <t>¿Cuál es el resultado de sumar 3/4 + 1/4?</t>
  </si>
  <si>
    <t>1 entero</t>
  </si>
  <si>
    <t>¿Qué país asiático se convirtió en el primero de su continente en organizar un Mundial junto a Japón en 2002?</t>
  </si>
  <si>
    <t>Corea del Sur</t>
  </si>
  <si>
    <t>China</t>
  </si>
  <si>
    <t>Arabia Saudita</t>
  </si>
  <si>
    <t>¿Cuál es el sujeto en la oración "El árbitro cobró un penal histórico"?</t>
  </si>
  <si>
    <t>Cobró</t>
  </si>
  <si>
    <t>Un penal</t>
  </si>
  <si>
    <t>Histórico</t>
  </si>
  <si>
    <t>¿Qué sistema del cuerpo se encarga de transformar los alimentos en nutrientes?</t>
  </si>
  <si>
    <t>Sistema óseo</t>
  </si>
  <si>
    <t>¿Cuántos segundos tiene un minuto completo?</t>
  </si>
  <si>
    <t>¿Cómo se llama el premio individual que se entrega cada año al mejor futbolista del mundo?</t>
  </si>
  <si>
    <t>Balón de Oro</t>
  </si>
  <si>
    <t>Bota de Oro</t>
  </si>
  <si>
    <t>Guante de Oro</t>
  </si>
  <si>
    <t>¿Qué país africano hizo historia al convertirse en el primero de su continente en organizar un Mundial en el año 2010?</t>
  </si>
  <si>
    <t>Sudáfrica</t>
  </si>
  <si>
    <t>Nigeria</t>
  </si>
  <si>
    <t>Egipto</t>
  </si>
  <si>
    <t>¿Qué tipo de palabra es "brújula" según la posición de su sílaba tónica?</t>
  </si>
  <si>
    <t>¿Cuál es la fracción equivalente a 2/4?</t>
  </si>
  <si>
    <t>¿Qué jugador ostenta el récord de haber ganado más Copas del Mundo (3 en total) como futbolista?</t>
  </si>
  <si>
    <t>Zinedine Zidane</t>
  </si>
  <si>
    <t>¿Cómo se llama el proceso por el cual el agua líquida se transforma en vapor debido al calor del sol?</t>
  </si>
  <si>
    <t>Evaporación</t>
  </si>
  <si>
    <t>Condensación</t>
  </si>
  <si>
    <t>Solidificación</t>
  </si>
  <si>
    <t>Filtración</t>
  </si>
  <si>
    <t>¿Cuál es el resultado de dividir 144 entre 12?</t>
  </si>
  <si>
    <t>¿Qué cordillera asiática alberga las montañas más altas del planeta, incluido el monte Everest?</t>
  </si>
  <si>
    <t>Los Andes</t>
  </si>
  <si>
    <t>¿Qué selección nacional eliminó a Brasil en los cuartos de final del Mundial de Qatar 2022?</t>
  </si>
  <si>
    <t>Países Bajos</t>
  </si>
  <si>
    <t>¿Qué sistema del cuerpo humano se encarga de defenderlo contra bacterias y virus?</t>
  </si>
  <si>
    <t>Sistema inmunológico</t>
  </si>
  <si>
    <t>Sistema endocrino</t>
  </si>
  <si>
    <t>Sistema nervioso</t>
  </si>
  <si>
    <t>¿Cómo se escribe el número 99 en números romanos?</t>
  </si>
  <si>
    <t>XCIX</t>
  </si>
  <si>
    <t>IC</t>
  </si>
  <si>
    <t>LXXXXIX</t>
  </si>
  <si>
    <t>CIX</t>
  </si>
  <si>
    <t>En la oración "La casa es extremadamente grande", ¿qué tipo de palabra es "extremadamente"?</t>
  </si>
  <si>
    <t>Adverbio de cantidad</t>
  </si>
  <si>
    <t>Adjetivo calificativo</t>
  </si>
  <si>
    <t>Sustantivo propio</t>
  </si>
  <si>
    <t>Argentina 1978</t>
  </si>
  <si>
    <t>¿Cómo se llama el ángulo que mide más de 90 grados pero menos de 180 grados?</t>
  </si>
  <si>
    <t>¿Qué capa de la atmósfera terrestre nos protege de los peligrosos rayos ultravioleta del sol?</t>
  </si>
  <si>
    <t>Capa de ozono</t>
  </si>
  <si>
    <t>Troposfera</t>
  </si>
  <si>
    <t>Termosfera</t>
  </si>
  <si>
    <t>Magnetosfera</t>
  </si>
  <si>
    <t>¿Cuál es la capital de Italia, país que ha ganado cuatro Copas del Mundo?</t>
  </si>
  <si>
    <t>Milán</t>
  </si>
  <si>
    <t>¿Cuántos años transcurren exactamente en un milenio?</t>
  </si>
  <si>
    <t>500 años</t>
  </si>
  <si>
    <t>¿Cómo se llama el torneo de clubes de fútbol más importante de Sudamérica que clasifica al Mundial de Clubes?</t>
  </si>
  <si>
    <t>Copa Sudamericana</t>
  </si>
  <si>
    <t>¿Cuál es el resultado de la operación $500 - (150 + 50)$?</t>
  </si>
  <si>
    <t>¿Qué vaso sanguíneo se encarga de llevar la sangre oxigenada desde el corazón hacia el resto del cuerpo?</t>
  </si>
  <si>
    <t>Arteria</t>
  </si>
  <si>
    <t>Vena</t>
  </si>
  <si>
    <t>Capilar</t>
  </si>
  <si>
    <t>Nervio</t>
  </si>
  <si>
    <t>¿Quién es el máximo goleador histórico de la selección argentina en partidos de los Mundiales?</t>
  </si>
  <si>
    <t>¿Cuál de los siguientes verbos se encuentra conjugado en tiempo futuro?</t>
  </si>
  <si>
    <t>Cantará</t>
  </si>
  <si>
    <t>Cantó</t>
  </si>
  <si>
    <t>Canta</t>
  </si>
  <si>
    <t>Cantando</t>
  </si>
  <si>
    <t>¿Cuál es el planeta más grande y con más masa de nuestro sistema solar?</t>
  </si>
  <si>
    <t>Neptuno</t>
  </si>
  <si>
    <t>¿En qué país asiático se celebró el Mundial de fútbol del año 2002, el primero organizado por dos naciones juntas?</t>
  </si>
  <si>
    <t>Corea del Sur y Japón</t>
  </si>
  <si>
    <t>China y Vietnam</t>
  </si>
  <si>
    <t>Qatar y Omán</t>
  </si>
  <si>
    <t>¿Cuántos metros cuadrados tiene un terreno rectangular que mide 20 metros de largo por 10 metros de ancho?</t>
  </si>
  <si>
    <t>200 metros cuadrados</t>
  </si>
  <si>
    <t>30 metros cuadrados</t>
  </si>
  <si>
    <t>60 metros cuadrados</t>
  </si>
  <si>
    <t>100 metros cuadrados</t>
  </si>
  <si>
    <t>¿Qué río cruza la ciudad de El Cairo en Egipto y es uno de los más largos de la historia?</t>
  </si>
  <si>
    <t>Río Nilo</t>
  </si>
  <si>
    <t>Río Amazonas</t>
  </si>
  <si>
    <t>Río Ganges</t>
  </si>
  <si>
    <t>Río Misisipi</t>
  </si>
  <si>
    <t>¿Cuántos cambios de jugadores por equipo están permitidos realizar durante los 90 minutos regulares según las reglas actuales?</t>
  </si>
  <si>
    <t>5 cambios</t>
  </si>
  <si>
    <t>3 cambios</t>
  </si>
  <si>
    <t>4 cambios</t>
  </si>
  <si>
    <t>6 cambios</t>
  </si>
  <si>
    <t>¿Qué propiedad de la materia mide la cantidad de espacio que ocupa un cuerpo?</t>
  </si>
  <si>
    <t>Volumen</t>
  </si>
  <si>
    <t>Densidad</t>
  </si>
  <si>
    <t>Peso</t>
  </si>
  <si>
    <t>¿Cómo se llama el polígono regular que tiene exactamente ocho lados?</t>
  </si>
  <si>
    <t>Octógono</t>
  </si>
  <si>
    <t>Hexágono</t>
  </si>
  <si>
    <t>Heptágono</t>
  </si>
  <si>
    <t>Decágono</t>
  </si>
  <si>
    <t>¿Cuál de las siguientes palabras está escrita de forma correcta según las reglas ortográficas?</t>
  </si>
  <si>
    <t>Exagerar</t>
  </si>
  <si>
    <t>Exajerar</t>
  </si>
  <si>
    <t>Esagerar</t>
  </si>
  <si>
    <t>Esajerar</t>
  </si>
  <si>
    <t>¿Qué país europeo se consagró campeón del mundo en el Mundial de Sudáfrica 2010?</t>
  </si>
  <si>
    <t>Si el área de un cuadrado es de 36 centímetros cuadrados, ¿cuánto mide cada uno de sus lados?</t>
  </si>
  <si>
    <t>6 cm</t>
  </si>
  <si>
    <t>9 cm</t>
  </si>
  <si>
    <t>12 cm</t>
  </si>
  <si>
    <t>¿Qué tipo de seres vivos producen su propio alimento a través de la fotosíntesis y se consideran productores?</t>
  </si>
  <si>
    <t>Las plantas</t>
  </si>
  <si>
    <t>Los hongos</t>
  </si>
  <si>
    <t>Los animales</t>
  </si>
  <si>
    <t>Las bacterias</t>
  </si>
  <si>
    <t>¿Qué selección europea es conocida históricamente en el fútbol como "La Azzurra"?</t>
  </si>
  <si>
    <t>En la oración "Los jugadores suplentes entrenaron duro", ¿cuál es el núcleo del sujeto?</t>
  </si>
  <si>
    <t>Jugadores</t>
  </si>
  <si>
    <t>Los</t>
  </si>
  <si>
    <t>Suplentes</t>
  </si>
  <si>
    <t>Entrenaron</t>
  </si>
  <si>
    <t>¿Qué órgano del cuerpo humano se encarga principalmente de purificar la sangre y producir la orina?</t>
  </si>
  <si>
    <t>Los riñones</t>
  </si>
  <si>
    <t>El páncreas</t>
  </si>
  <si>
    <t>¿Qué país de Europa organizó el Mundial de 1998, donde su selección se coronó campeona por primera vez en su historia?</t>
  </si>
  <si>
    <t>Inglaterra</t>
  </si>
  <si>
    <t>¿Cuál es el resultado de multiplicar $9 \times 8$?</t>
  </si>
  <si>
    <t>¿Qué océano es el más grande y profundo de todo el planeta Tierra?</t>
  </si>
  <si>
    <t>¿Qué histórico jugador francés, famoso por usar la camiseta 10, fue elegido el mejor del Mundial de Alemania 2006?</t>
  </si>
  <si>
    <t>Thierry Henry</t>
  </si>
  <si>
    <t>Michel Platini</t>
  </si>
  <si>
    <t>¿Qué tipo de mezcla se forma cuando unimos agua y aceite, ya que sus fases se pueden ver claramente a simple vista?</t>
  </si>
  <si>
    <t>Disolución</t>
  </si>
  <si>
    <t>¿Cuál es el resultado de sumar $1,5 + 2,75$?</t>
  </si>
  <si>
    <t>¿Qué parte de la célula vegetal contiene la clorofila y se encarga de captar la luz del sol?</t>
  </si>
  <si>
    <t>Cloroplasto</t>
  </si>
  <si>
    <t>Núcleo</t>
  </si>
  <si>
    <t>Mitocondria</t>
  </si>
  <si>
    <t>Vacuola</t>
  </si>
  <si>
    <t>¿Cómo se llama la fase previa de los Mundiales donde las selecciones juegan partidos en su continente para poder clasificar?</t>
  </si>
  <si>
    <t>Eliminatorias</t>
  </si>
  <si>
    <t>Fase de grupos</t>
  </si>
  <si>
    <t>Octavos de final</t>
  </si>
  <si>
    <t>Repechaje</t>
  </si>
  <si>
    <t>¿Cuánto da la fracción de tres cuartos (3/4) expresada en número decimal?</t>
  </si>
  <si>
    <t>¿Qué país sudamericano fue el anfitrión del Mundial de fútbol celebrado en el año 1962?</t>
  </si>
  <si>
    <t>¿Cuál es el predicado en la oración "El director técnico planificó la estrategia táctica"?</t>
  </si>
  <si>
    <t>planificó la estrategia táctica</t>
  </si>
  <si>
    <t>El director técnico</t>
  </si>
  <si>
    <t>El director</t>
  </si>
  <si>
    <t>la estrategia táctica</t>
  </si>
  <si>
    <t>¿Qué sistema del cuerpo se encarga de romper los alimentos para absorber sus nutrientes y energía?</t>
  </si>
  <si>
    <t>Sistema excretor</t>
  </si>
  <si>
    <t>¿Cuántos minutos tiene una hora y media de reloj?</t>
  </si>
  <si>
    <t>¿Cómo se llama el trofeo individual que recibe el jugador que anota más goles durante todo un Mundial?</t>
  </si>
  <si>
    <t>Premio The Best</t>
  </si>
  <si>
    <t>¿Cuál es el resultado de multiplicar 25 x 4?</t>
  </si>
  <si>
    <t>¿En qué Mundial masculino se implementó el uso del VAR?</t>
  </si>
  <si>
    <t>Rusia</t>
  </si>
  <si>
    <t>Corteza</t>
  </si>
  <si>
    <t>Atmósfera</t>
  </si>
  <si>
    <t>Ámsterdam</t>
  </si>
  <si>
    <t>1.000 años</t>
  </si>
  <si>
    <t>Carlos Bilardo</t>
  </si>
  <si>
    <t>Convivencia</t>
  </si>
  <si>
    <t>Conbibencia</t>
  </si>
  <si>
    <t>Combinvencia</t>
  </si>
  <si>
    <t>Japón</t>
  </si>
  <si>
    <t>Luka Modrić</t>
  </si>
  <si>
    <t>Ivan Rakitić</t>
  </si>
  <si>
    <t>Mario Mandžukić</t>
  </si>
  <si>
    <t>Mateo Kovačić</t>
  </si>
  <si>
    <t>Energía química</t>
  </si>
  <si>
    <t>Energía eólica</t>
  </si>
  <si>
    <t>Energía térmica</t>
  </si>
  <si>
    <t>30 minutos</t>
  </si>
  <si>
    <t>¿Qué país ganó el primer Mundial de la historia en 1930?</t>
  </si>
  <si>
    <t>¿Qué tipo de palabra es "música" según su acentuación?</t>
  </si>
  <si>
    <t>¿Quién es el máximo goleador de la historia de los Mundiales (metió 16 goles)?</t>
  </si>
  <si>
    <t>Miroslav Klose (Alemania)</t>
  </si>
  <si>
    <t>Pelé (Brasil)</t>
  </si>
  <si>
    <t>Messi (Argentina)</t>
  </si>
  <si>
    <t>Ronaldo (Brasil)</t>
  </si>
  <si>
    <t>¿Qué movimiento de la Tierra tarda 24 horas y hace que tengamos el día y la noche?</t>
  </si>
  <si>
    <t>Balanceo</t>
  </si>
  <si>
    <t>Órbita</t>
  </si>
  <si>
    <t>Si dividimos una pizza en 4 partes iguales y nos comemos 2, ¿qué fracción de la pizza nos queda?</t>
  </si>
  <si>
    <t>2/4 (o la mitad)</t>
  </si>
  <si>
    <t>¿Cuál es el país más grande de todo el mundo?</t>
  </si>
  <si>
    <t>¿Contra qué país jugó Argentina la final del Mundial de Qatar 2022?</t>
  </si>
  <si>
    <t>Holanda</t>
  </si>
  <si>
    <t>¿Cómo se llama el centro de la célula donde se guarda la información genética?</t>
  </si>
  <si>
    <t>Membrana</t>
  </si>
  <si>
    <t>Citoplasma</t>
  </si>
  <si>
    <t>¿Qué número romano representa al número 50?</t>
  </si>
  <si>
    <t>En la frase "Los jugadores corren rápido", ¿cuál es el verbo?</t>
  </si>
  <si>
    <t>Corren</t>
  </si>
  <si>
    <t>Rápido</t>
  </si>
  <si>
    <t>¿En qué país europeo se jugó el Mundial de 2006 que ganó Italia?</t>
  </si>
  <si>
    <t>¿Cómo se llama el ángulo que mide exactamente 90 grados?</t>
  </si>
  <si>
    <t>¿Cuál es la capa de aire que rodea a la Tierra y nos permite respirar?</t>
  </si>
  <si>
    <t>Manto</t>
  </si>
  <si>
    <t>Gravedad</t>
  </si>
  <si>
    <t>¿Cuál es la capital de los Países Bajos (también conocida como Holanda)?</t>
  </si>
  <si>
    <t>¿Cómo se llama la copa donde juegan las selecciones de América del Sur?</t>
  </si>
  <si>
    <t>Eurocopa</t>
  </si>
  <si>
    <t>¿Cuál es el resultado de $5 + 3 \times 2$? (Recuerda resolver primero la multiplicación)</t>
  </si>
  <si>
    <t>¿Quién era el técnico de Argentina cuando salimos campeones en el Mundial de 1986?</t>
  </si>
  <si>
    <t>César Menotti</t>
  </si>
  <si>
    <t>¿Qué palabra es el sinónimo de "veloz"?</t>
  </si>
  <si>
    <t>Fuerte</t>
  </si>
  <si>
    <t>¿Cuál es la estrella más grande de nuestro sistema solar y nos da calor todos los días?</t>
  </si>
  <si>
    <t>¿Qué país de África sorprendió a todos llegando a las semifinales en Qatar 2022?</t>
  </si>
  <si>
    <t>¿Cómo se calcula el área de un rectángulo?</t>
  </si>
  <si>
    <t>Base por altura</t>
  </si>
  <si>
    <t>Lado más lado</t>
  </si>
  <si>
    <t>Base más altura</t>
  </si>
  <si>
    <t>Dividiendo por dos</t>
  </si>
  <si>
    <t>¿Qué famosa cordillera de montañas cruza toda la Argentina de norte a sur?</t>
  </si>
  <si>
    <t>¿Qué significan las siglas del VAR en el fútbol?</t>
  </si>
  <si>
    <t>Árbitro asistente de video</t>
  </si>
  <si>
    <t>Video de asistencia rápida</t>
  </si>
  <si>
    <t>Árbitro visual remoto</t>
  </si>
  <si>
    <t>Validación de arco real</t>
  </si>
  <si>
    <t>¿Qué propiedad mide la cantidad de materia que tiene un cuerpo?</t>
  </si>
  <si>
    <t>Color</t>
  </si>
  <si>
    <t>Temperatura</t>
  </si>
  <si>
    <t>¿Cuántos lados tiene una figura geométrica llamada hexágono?</t>
  </si>
  <si>
    <t>¿Cuál de estas palabras está bien escrita?</t>
  </si>
  <si>
    <t>Conbivencia</t>
  </si>
  <si>
    <t>¿Qué selección del mundo tiene más copas mundiales ganadas (5 en total)?</t>
  </si>
  <si>
    <t>Si el radio de un círculo mide 4 cm, ¿cuánto mide su diámetro entero?</t>
  </si>
  <si>
    <t>8 cm</t>
  </si>
  <si>
    <t>16 cm</t>
  </si>
  <si>
    <t>¿Qué seres vivos se encargan de producir su propio alimento con la luz del sol?</t>
  </si>
  <si>
    <t>Los insectos</t>
  </si>
  <si>
    <t>¿Cómo le dicen a la selección de Uruguay por el color de su camiseta?</t>
  </si>
  <si>
    <t>La Celeste</t>
  </si>
  <si>
    <t>La Albiceleste</t>
  </si>
  <si>
    <t>La Verdeamarela</t>
  </si>
  <si>
    <t>La Roja</t>
  </si>
  <si>
    <t>En la oración "El arquero atajó el penal", ¿cuál es el sujeto?</t>
  </si>
  <si>
    <t>Atajó</t>
  </si>
  <si>
    <t>El penal</t>
  </si>
  <si>
    <t>Atajó el penal</t>
  </si>
  <si>
    <t>¿Qué órgano de nuestro cuerpo se encarga de bombear la sangre a todos lados?</t>
  </si>
  <si>
    <t>¿En qué país de Asia se jugó el Mundial del año 2022?</t>
  </si>
  <si>
    <t>¿Cuál es la raíz cuadrada de 100?</t>
  </si>
  <si>
    <t>¿Cuál es el océano más grande del planeta Tierra?</t>
  </si>
  <si>
    <t>¿Quién es el jugador número 10 y capitán actual de la selección de Croacia?</t>
  </si>
  <si>
    <t>¿Qué tipo de energía obtenemos gracias a la fuerza del viento?</t>
  </si>
  <si>
    <t>Energía solar</t>
  </si>
  <si>
    <t>¿Con qué órgano de nuestro cuerpo podemos ver los colores y las formas?</t>
  </si>
  <si>
    <t>Los ojos</t>
  </si>
  <si>
    <t>Los oídos</t>
  </si>
  <si>
    <t>La piel</t>
  </si>
  <si>
    <t>La nariz</t>
  </si>
  <si>
    <t>¿Cómo se llama la etapa del Mundial donde juegan los mejores 16 equipos después de los grupos?</t>
  </si>
  <si>
    <t>Cuartos de final</t>
  </si>
  <si>
    <t>Semifinal</t>
  </si>
  <si>
    <t>La gran final</t>
  </si>
  <si>
    <t>¿Cómo se escribe el número "un medio" (1/2) en forma de número decimal?</t>
  </si>
  <si>
    <t>¿En qué año se jugó el Mundial en Argentina donde salimos campeones por primera vez?</t>
  </si>
  <si>
    <t>¿Cuál es la palabra que describe una acción en una oración?</t>
  </si>
  <si>
    <t>Pronombre</t>
  </si>
  <si>
    <t>¿Qué sistema de nuestro cuerpo se encarga de la respiración?</t>
  </si>
  <si>
    <t>¿Cuántos minutos dura el tiempo extra de un partido si van a la prórroga (dos tiempos)?</t>
  </si>
  <si>
    <t>¿Cómo se llama el premio que le dan al arquero más destacado de todo un Mundial?</t>
  </si>
  <si>
    <t>Premio al Goleador</t>
  </si>
  <si>
    <t>¿Cuánto es la mitad de 10?</t>
  </si>
  <si>
    <t>Si una remera del Mundial cuesta $100 y tiene el 10% de descuento, ¿cuánto dinero te descuentan?</t>
  </si>
  <si>
    <t>What is 2 + 3?</t>
  </si>
  <si>
    <t>What color is the grass on a soccer field?</t>
  </si>
  <si>
    <t>Green</t>
  </si>
  <si>
    <t>Blue</t>
  </si>
  <si>
    <t>Yellow</t>
  </si>
  <si>
    <t>Red</t>
  </si>
  <si>
    <t>Which animal barks and is the most common pet?</t>
  </si>
  <si>
    <t>Dog</t>
  </si>
  <si>
    <t>Cat</t>
  </si>
  <si>
    <t>Horse</t>
  </si>
  <si>
    <t>Bird</t>
  </si>
  <si>
    <t>Who is the famous captain of the Argentine national team who wears the number 10 shirt?</t>
  </si>
  <si>
    <t>What vowel is missing in the word "C_T"?</t>
  </si>
  <si>
    <t>What shape is the ball used in the soccer World Cup?</t>
  </si>
  <si>
    <t>Sphere (round)</t>
  </si>
  <si>
    <t>Cube (square)</t>
  </si>
  <si>
    <t>Triangle</t>
  </si>
  <si>
    <t>Rectangle</t>
  </si>
  <si>
    <t>If I have 5 candies and I eat 2, how many do I have left?</t>
  </si>
  <si>
    <t>What color is the sun?</t>
  </si>
  <si>
    <t>Purple</t>
  </si>
  <si>
    <t>Black</t>
  </si>
  <si>
    <t>What object do we use to write and erase in a notebook?</t>
  </si>
  <si>
    <t>Pencil</t>
  </si>
  <si>
    <t>Spoon</t>
  </si>
  <si>
    <t>Fork</t>
  </si>
  <si>
    <t>Brush</t>
  </si>
  <si>
    <t>What is the trophy won by the best country in the World Cup called?</t>
  </si>
  <si>
    <t>The World Cup</t>
  </si>
  <si>
    <t>The Gold Medal</t>
  </si>
  <si>
    <t>The Belt</t>
  </si>
  <si>
    <t>The Gold Plate</t>
  </si>
  <si>
    <t>What letter comes after "A" in the alphabet?</t>
  </si>
  <si>
    <t>Which of these animals can fly high in the sky?</t>
  </si>
  <si>
    <t>Eagle</t>
  </si>
  <si>
    <t>Elephant</t>
  </si>
  <si>
    <t>Fish</t>
  </si>
  <si>
    <t>What number comes before 10?</t>
  </si>
  <si>
    <t>What are the colors of the Argentine flag?</t>
  </si>
  <si>
    <t>Light blue and white</t>
  </si>
  <si>
    <t>Blue and yellow</t>
  </si>
  <si>
    <t>Red and white</t>
  </si>
  <si>
    <t>Gray and purple</t>
  </si>
  <si>
    <t>What do we wear on our feet to play soccer without getting hurt?</t>
  </si>
  <si>
    <t>Sneakers or cleats</t>
  </si>
  <si>
    <t>Gloves</t>
  </si>
  <si>
    <t>Hats</t>
  </si>
  <si>
    <t>Scarves</t>
  </si>
  <si>
    <t>What is the place where we go to learn and play with friends called?</t>
  </si>
  <si>
    <t>School</t>
  </si>
  <si>
    <t>Hospital</t>
  </si>
  <si>
    <t>Supermarket</t>
  </si>
  <si>
    <t>Police station</t>
  </si>
  <si>
    <t>What is the tallest animal in the world that has a very long neck?</t>
  </si>
  <si>
    <t>Giraffe</t>
  </si>
  <si>
    <t>Mouse</t>
  </si>
  <si>
    <t>Hippopotamus</t>
  </si>
  <si>
    <t>If we add 5 + 5, what is the result?</t>
  </si>
  <si>
    <t>Which fruit is red on the outside and white on the inside?</t>
  </si>
  <si>
    <t>Apple</t>
  </si>
  <si>
    <t>Banana</t>
  </si>
  <si>
    <t>Orange</t>
  </si>
  <si>
    <t>Lemon</t>
  </si>
  <si>
    <t>How many halves (periods) are there in a soccer match?</t>
  </si>
  <si>
    <t>With which sense can we listen to our favorite music?</t>
  </si>
  <si>
    <t>Hearing</t>
  </si>
  <si>
    <t>Sight</t>
  </si>
  <si>
    <t>Taste</t>
  </si>
  <si>
    <t>Touch</t>
  </si>
  <si>
    <t>What word rhymes with "HOUSE"?</t>
  </si>
  <si>
    <t>Hair</t>
  </si>
  <si>
    <t>Sun</t>
  </si>
  <si>
    <t>How many days are in a week?</t>
  </si>
  <si>
    <t>What does the goalkeeper do in a soccer match?</t>
  </si>
  <si>
    <t>Catch the ball</t>
  </si>
  <si>
    <t>Score goals</t>
  </si>
  <si>
    <t>Call fouls</t>
  </si>
  <si>
    <t>Run all over the field</t>
  </si>
  <si>
    <t>What number represents "nothing" or no items?</t>
  </si>
  <si>
    <t>Which season of the year is the coldest and sometimes has snow?</t>
  </si>
  <si>
    <t>Winter</t>
  </si>
  <si>
    <t>Summer</t>
  </si>
  <si>
    <t>Spring</t>
  </si>
  <si>
    <t>Autumn</t>
  </si>
  <si>
    <t>What is the ocean where whales and sharks live?</t>
  </si>
  <si>
    <t>The sea</t>
  </si>
  <si>
    <t>The river</t>
  </si>
  <si>
    <t>The pool</t>
  </si>
  <si>
    <t>The lake</t>
  </si>
  <si>
    <t>Which country won the Qatar 2022 World Cup?</t>
  </si>
  <si>
    <t>France</t>
  </si>
  <si>
    <t>Germany</t>
  </si>
  <si>
    <t>What is the satellite that shines in the sky at night called?</t>
  </si>
  <si>
    <t>The Moon</t>
  </si>
  <si>
    <t>The Sun</t>
  </si>
  <si>
    <t>Mars</t>
  </si>
  <si>
    <t>Jupiter</t>
  </si>
  <si>
    <t>What is the first letter of the word "MOM"?</t>
  </si>
  <si>
    <t>What number comes next after 19?</t>
  </si>
  <si>
    <t>What object does the referee use to stop a soccer match?</t>
  </si>
  <si>
    <t>A whistle</t>
  </si>
  <si>
    <t>A guitar</t>
  </si>
  <si>
    <t>A greeting card</t>
  </si>
  <si>
    <t>A microphone</t>
  </si>
  <si>
    <t>Which animal lives in the water and breathes through gills?</t>
  </si>
  <si>
    <t>Rabbit</t>
  </si>
  <si>
    <t>Bear</t>
  </si>
  <si>
    <t>What color is the most common ripe apple?</t>
  </si>
  <si>
    <t>How many legs does a spider have?</t>
  </si>
  <si>
    <t>Which card does the referee show to send a player off the field?</t>
  </si>
  <si>
    <t>Red card</t>
  </si>
  <si>
    <t>Yellow card</t>
  </si>
  <si>
    <t>Blue card</t>
  </si>
  <si>
    <t>Green card</t>
  </si>
  <si>
    <t>What do we call the water that falls from the sky when it gets cloudy?</t>
  </si>
  <si>
    <t>Rain</t>
  </si>
  <si>
    <t>Snow</t>
  </si>
  <si>
    <t>Wind</t>
  </si>
  <si>
    <t>Thunder</t>
  </si>
  <si>
    <t>If you have 3 apples and your mom gives you 3 more, how many do you have?</t>
  </si>
  <si>
    <t>Every how many years is a soccer World Cup played?</t>
  </si>
  <si>
    <t>4 years</t>
  </si>
  <si>
    <t>Every year</t>
  </si>
  <si>
    <t>2 years</t>
  </si>
  <si>
    <t>10 years</t>
  </si>
  <si>
    <t>Which part of the body do we use to think?</t>
  </si>
  <si>
    <t>Brain</t>
  </si>
  <si>
    <t>Foot</t>
  </si>
  <si>
    <t>Hand</t>
  </si>
  <si>
    <t>Stomach</t>
  </si>
  <si>
    <t>What is the last letter of the alphabet?</t>
  </si>
  <si>
    <t>Which means of transportation goes on tracks and goes "choo-choo"?</t>
  </si>
  <si>
    <t>Train</t>
  </si>
  <si>
    <t>Airplane</t>
  </si>
  <si>
    <t>Car</t>
  </si>
  <si>
    <t>Boat</t>
  </si>
  <si>
    <t>What is it called when the ball goes completely into the opponent's goal?</t>
  </si>
  <si>
    <t>Goal</t>
  </si>
  <si>
    <t>Foul</t>
  </si>
  <si>
    <t>Which of these animals is a reptile that crawls on the ground?</t>
  </si>
  <si>
    <t>Snake</t>
  </si>
  <si>
    <t>Parrot</t>
  </si>
  <si>
    <t>Which number is bigger: 5 or 8?</t>
  </si>
  <si>
    <t>They are equal</t>
  </si>
  <si>
    <t>What color is snow?</t>
  </si>
  <si>
    <t>White</t>
  </si>
  <si>
    <t>Brown</t>
  </si>
  <si>
    <t>Which animal gives us milk and says "moo"?</t>
  </si>
  <si>
    <t>Cow</t>
  </si>
  <si>
    <t>Pig</t>
  </si>
  <si>
    <t>Duck</t>
  </si>
  <si>
    <t>Sheep</t>
  </si>
  <si>
    <t>What clothes do we put on our hands when it is very cold?</t>
  </si>
  <si>
    <t>Socks</t>
  </si>
  <si>
    <t>Hat</t>
  </si>
  <si>
    <t>Scarf</t>
  </si>
  <si>
    <t>Who are the people who sit in the stands to cheer for their team?</t>
  </si>
  <si>
    <t>Fans</t>
  </si>
  <si>
    <t>Cooks</t>
  </si>
  <si>
    <t>Firefighters</t>
  </si>
  <si>
    <t>Doctors</t>
  </si>
  <si>
    <t>Question</t>
  </si>
  <si>
    <t>Correct Answer</t>
  </si>
  <si>
    <t>Incorrect Answer 1</t>
  </si>
  <si>
    <t>Incorrect Answer 2</t>
  </si>
  <si>
    <t>Incorrect Answer 3</t>
  </si>
  <si>
    <t>What is 12 + 5?</t>
  </si>
  <si>
    <t>Which country is famous for having five stars on its crest and winning 5 World Cups?</t>
  </si>
  <si>
    <t>Brazil</t>
  </si>
  <si>
    <t>Spain</t>
  </si>
  <si>
    <t>What is the result of subtracting 20 minus 7?</t>
  </si>
  <si>
    <t>What sign do we use to add two quantities together?</t>
  </si>
  <si>
    <t>+ (Plus)</t>
  </si>
  <si>
    <t>- (Minus)</t>
  </si>
  <si>
    <t>x (Times)</t>
  </si>
  <si>
    <t>Which animal is known as the "King of the jungle"?</t>
  </si>
  <si>
    <t>Lion</t>
  </si>
  <si>
    <t>Tiger</t>
  </si>
  <si>
    <t>What is the player who can use their hands inside the penalty area called?</t>
  </si>
  <si>
    <t>Goalkeeper</t>
  </si>
  <si>
    <t>Forward</t>
  </si>
  <si>
    <t>Defender</t>
  </si>
  <si>
    <t>Referee</t>
  </si>
  <si>
    <t>Which planet is known as the "Blue Planet" because it has so much water?</t>
  </si>
  <si>
    <t>Earth</t>
  </si>
  <si>
    <t>Which of these words is a proper noun and must start with a capital letter?</t>
  </si>
  <si>
    <t>ball</t>
  </si>
  <si>
    <t>stadium</t>
  </si>
  <si>
    <t>jersey</t>
  </si>
  <si>
    <t>How many minutes does a full soccer match last (without counting halftime)?</t>
  </si>
  <si>
    <t>90 minutes</t>
  </si>
  <si>
    <t>60 minutes</t>
  </si>
  <si>
    <t>45 minutes</t>
  </si>
  <si>
    <t>80 minutes</t>
  </si>
  <si>
    <t>What number is made of 3 tens and 5 ones?</t>
  </si>
  <si>
    <t>Who is the head coach who managed Argentina when they won the World Cup in Qatar?</t>
  </si>
  <si>
    <t>What is the correct alphabetical order for the first four letters?</t>
  </si>
  <si>
    <t>Which organ in our body beats all the time to pump blood?</t>
  </si>
  <si>
    <t>Heart</t>
  </si>
  <si>
    <t>Lungs</t>
  </si>
  <si>
    <t>Which European country reached the final against Argentina in 2022?</t>
  </si>
  <si>
    <t>Italy</t>
  </si>
  <si>
    <t>What is a triangle that has three equal sides called?</t>
  </si>
  <si>
    <t>Equilateral</t>
  </si>
  <si>
    <t>Isosceles</t>
  </si>
  <si>
    <t>Scalene</t>
  </si>
  <si>
    <t>Square</t>
  </si>
  <si>
    <t>What letter is missing to complete the word "W_RLD CUP"?</t>
  </si>
  <si>
    <t>Which animal lives in the water, is huge, and is a mammal instead of a fish?</t>
  </si>
  <si>
    <t>Whale</t>
  </si>
  <si>
    <t>Shark</t>
  </si>
  <si>
    <t>Octopus</t>
  </si>
  <si>
    <t>Crab</t>
  </si>
  <si>
    <t>How many players from the same team enter the field to play a soccer match?</t>
  </si>
  <si>
    <t>Which season comes after winter and is full of flowers?</t>
  </si>
  <si>
    <t>Storm</t>
  </si>
  <si>
    <t>What is double of 8?</t>
  </si>
  <si>
    <t>Which country's national team is known as "La Roja"?</t>
  </si>
  <si>
    <t>What word means the opposite of "FAST"?</t>
  </si>
  <si>
    <t>Slow</t>
  </si>
  <si>
    <t>Quick</t>
  </si>
  <si>
    <t>Run</t>
  </si>
  <si>
    <t>Tall</t>
  </si>
  <si>
    <t>If the match starts at 4 o'clock and lasts two hours, what time does it end?</t>
  </si>
  <si>
    <t>At 6 o'clock</t>
  </si>
  <si>
    <t>At 5 o'clock</t>
  </si>
  <si>
    <t>At 7 o'clock</t>
  </si>
  <si>
    <t>At half past 4</t>
  </si>
  <si>
    <t>Which geometric shape has 4 exactly equal sides?</t>
  </si>
  <si>
    <t>Circle</t>
  </si>
  <si>
    <t>Where will the 2026 Soccer World Cup be hosted?</t>
  </si>
  <si>
    <t>United States, Mexico, and Canada</t>
  </si>
  <si>
    <t>Spain and Portugal</t>
  </si>
  <si>
    <t>What natural element do plants need to breathe and make their own food?</t>
  </si>
  <si>
    <t>Air and sunlight</t>
  </si>
  <si>
    <t>Toys</t>
  </si>
  <si>
    <t>Fine sand</t>
  </si>
  <si>
    <t>Which word is spelled correctly?</t>
  </si>
  <si>
    <t>Soccer</t>
  </si>
  <si>
    <t>Soser</t>
  </si>
  <si>
    <t>Socer</t>
  </si>
  <si>
    <t>Zoccer</t>
  </si>
  <si>
    <t>How many days does a normal year have?</t>
  </si>
  <si>
    <t>365 days</t>
  </si>
  <si>
    <t>100 days</t>
  </si>
  <si>
    <t>30 days</t>
  </si>
  <si>
    <t>24 days</t>
  </si>
  <si>
    <t>What object does the referee show to give a warning to a player?</t>
  </si>
  <si>
    <t>What is 50 + 50?</t>
  </si>
  <si>
    <t>Which little creature transforms into a butterfly after being in a cocoon?</t>
  </si>
  <si>
    <t>Caterpillar</t>
  </si>
  <si>
    <t>Earthworm</t>
  </si>
  <si>
    <t>Ant</t>
  </si>
  <si>
    <t>Bee</t>
  </si>
  <si>
    <t>In which continent is the country of Brazil located?</t>
  </si>
  <si>
    <t>America</t>
  </si>
  <si>
    <t>Europe</t>
  </si>
  <si>
    <t>Africa</t>
  </si>
  <si>
    <t>What type of words are "run", "jump", and "think"?</t>
  </si>
  <si>
    <t>Verbs (actions)</t>
  </si>
  <si>
    <t>Nouns</t>
  </si>
  <si>
    <t>Colors</t>
  </si>
  <si>
    <t>Numbers</t>
  </si>
  <si>
    <t>How many hours are in a whole day?</t>
  </si>
  <si>
    <t>24 hours</t>
  </si>
  <si>
    <t>12 hours</t>
  </si>
  <si>
    <t>50 hours</t>
  </si>
  <si>
    <t>10 hours</t>
  </si>
  <si>
    <t>What are the huge places where World Cup matches are played called?</t>
  </si>
  <si>
    <t>Stadiums</t>
  </si>
  <si>
    <t>Parks</t>
  </si>
  <si>
    <t>Tracks</t>
  </si>
  <si>
    <t>Gyms</t>
  </si>
  <si>
    <t>What is the result of 3 x 2?</t>
  </si>
  <si>
    <t>Which gas from the air do humans breathe in order to live?</t>
  </si>
  <si>
    <t>Oxygen</t>
  </si>
  <si>
    <t>Smoke</t>
  </si>
  <si>
    <t>Water</t>
  </si>
  <si>
    <t>Carbon dioxide</t>
  </si>
  <si>
    <t>What is it called when a player accidentally scores a goal in their own team's net?</t>
  </si>
  <si>
    <t>Own goal</t>
  </si>
  <si>
    <t>Great goal</t>
  </si>
  <si>
    <t>Penalty</t>
  </si>
  <si>
    <t>What kind of letter is always used right after a period?</t>
  </si>
  <si>
    <t>Capital letter</t>
  </si>
  <si>
    <t>Lowercase letter</t>
  </si>
  <si>
    <t>Cursive</t>
  </si>
  <si>
    <t>Small print</t>
  </si>
  <si>
    <t>If you have 15 World Cup stickers and give 5 to your best friend, how many do you have left?</t>
  </si>
  <si>
    <t>What shiny metal is the first-place medal made of?</t>
  </si>
  <si>
    <t>Gold</t>
  </si>
  <si>
    <t>Silver</t>
  </si>
  <si>
    <t>Bronze</t>
  </si>
  <si>
    <t>Copper</t>
  </si>
  <si>
    <t>Which animal has black and white stripes and looks like a horse?</t>
  </si>
  <si>
    <t>Zebra</t>
  </si>
  <si>
    <t>Leopard</t>
  </si>
  <si>
    <t>Donkey</t>
  </si>
  <si>
    <t>What is the white line that divides the soccer field exactly in half called?</t>
  </si>
  <si>
    <t>Center line</t>
  </si>
  <si>
    <t>Endline</t>
  </si>
  <si>
    <t>Penalty area</t>
  </si>
  <si>
    <t>Goal line</t>
  </si>
  <si>
    <t>Which number is bigger: 89 or 98?</t>
  </si>
  <si>
    <t>What instrument do astronomers use to look at stars and planets from Earth?</t>
  </si>
  <si>
    <t>Telescope</t>
  </si>
  <si>
    <t>Microscope</t>
  </si>
  <si>
    <t>Magnifying glass</t>
  </si>
  <si>
    <t>Sunglasses</t>
  </si>
  <si>
    <t>Where on the body is the "Captain's" armband placed in a soccer team?</t>
  </si>
  <si>
    <t>On the arm</t>
  </si>
  <si>
    <t>On the leg</t>
  </si>
  <si>
    <t>On the head</t>
  </si>
  <si>
    <t>On the waist</t>
  </si>
  <si>
    <t>Which of these foods belongs to the dairy group?</t>
  </si>
  <si>
    <t>Cheese</t>
  </si>
  <si>
    <t>Bread</t>
  </si>
  <si>
    <t>Meat</t>
  </si>
  <si>
    <t>How many units are in a dozen eggs?</t>
  </si>
  <si>
    <t>What do all the players and fans shout when the ball goes completely into the net?</t>
  </si>
  <si>
    <t>Goal!</t>
  </si>
  <si>
    <t>Foul!</t>
  </si>
  <si>
    <t>Out!</t>
  </si>
  <si>
    <t>Time!</t>
  </si>
  <si>
    <t>If a ball costs $10 and you buy two, how much money do you spend?</t>
  </si>
  <si>
    <t>What is the result of multiplying 4 x 8?</t>
  </si>
  <si>
    <t>In which country of North America will the final of the next men's soccer World Cup be played?</t>
  </si>
  <si>
    <t>United States</t>
  </si>
  <si>
    <t>Mexico</t>
  </si>
  <si>
    <t>Canada</t>
  </si>
  <si>
    <t>What word is a synonym for "happy"?</t>
  </si>
  <si>
    <t>Content</t>
  </si>
  <si>
    <t>Angry</t>
  </si>
  <si>
    <t>Sad</t>
  </si>
  <si>
    <t>Bored</t>
  </si>
  <si>
    <t>What is a triangle that has all its sides of different lengths called?</t>
  </si>
  <si>
    <t>Which famous Portuguese player is known worldwide as "CR7"?</t>
  </si>
  <si>
    <t>How many years are in a century?</t>
  </si>
  <si>
    <t>100 years</t>
  </si>
  <si>
    <t>1000 years</t>
  </si>
  <si>
    <t>50 years</t>
  </si>
  <si>
    <t>What type of word is "rápidamente" (quickly)?</t>
  </si>
  <si>
    <t>Adverb</t>
  </si>
  <si>
    <t>Noun</t>
  </si>
  <si>
    <t>Verb</t>
  </si>
  <si>
    <t>Adjective</t>
  </si>
  <si>
    <t>If a soccer match has two halves of 45 minutes, what is the total regular regulation time?</t>
  </si>
  <si>
    <t>100 minutes</t>
  </si>
  <si>
    <t>What number do we get if we add 150 + 250?</t>
  </si>
  <si>
    <t>Which is the longest and widest river in the world, located in South America?</t>
  </si>
  <si>
    <t>Amazon</t>
  </si>
  <si>
    <t>Nile</t>
  </si>
  <si>
    <t>Mississippi</t>
  </si>
  <si>
    <t>Which national team in the world holds the record for winning the most World Cups in history?</t>
  </si>
  <si>
    <t>How many syllables does the word "mariposa" have?</t>
  </si>
  <si>
    <t>What imaginary line divides the Earth into the Northern Hemisphere and Southern Hemisphere?</t>
  </si>
  <si>
    <t>The Equator</t>
  </si>
  <si>
    <t>The Greenwich Meridian</t>
  </si>
  <si>
    <t>The Tropic of Cancer</t>
  </si>
  <si>
    <t>The Polar Axis</t>
  </si>
  <si>
    <t>Which country hosted and won the first soccer World Cup in history in 1930?</t>
  </si>
  <si>
    <t>If I buy 3 packs of stickers and each one has 5, how many stickers do I have in total?</t>
  </si>
  <si>
    <t>What state of matter is water in when it turns into ice?</t>
  </si>
  <si>
    <t>Solid</t>
  </si>
  <si>
    <t>Liquid</t>
  </si>
  <si>
    <t>What is the capital of Argentina, the champion country of Qatar 2022?</t>
  </si>
  <si>
    <t>How do you write the number 4 in Roman numerals?</t>
  </si>
  <si>
    <t>Which Argentine player scored the famous historic goal known as "The Hand of God" in 1986?</t>
  </si>
  <si>
    <t>In the sentence "El perro negro corre" (The black dog runs), which word is the descriptive adjective?</t>
  </si>
  <si>
    <t>Negro (Black)</t>
  </si>
  <si>
    <t>Perro (Dog)</t>
  </si>
  <si>
    <t>Corre (Runs)</t>
  </si>
  <si>
    <t>El (The)</t>
  </si>
  <si>
    <t>How many grams are in a kilo?</t>
  </si>
  <si>
    <t>1000 grams</t>
  </si>
  <si>
    <t>100 grams</t>
  </si>
  <si>
    <t>500 grams</t>
  </si>
  <si>
    <t>10 grams</t>
  </si>
  <si>
    <t>What is the move called where a soccer player kicks the ball in the air with their back to the goal?</t>
  </si>
  <si>
    <t>Bicycle kick</t>
  </si>
  <si>
    <t>Palomita (Diving header)</t>
  </si>
  <si>
    <t>Taquito (Heel kick)</t>
  </si>
  <si>
    <t>Which is the largest planet in our solar system?</t>
  </si>
  <si>
    <t>Saturn</t>
  </si>
  <si>
    <t>Which of these words has an accent mark because it is an acute word ending in a vowel?</t>
  </si>
  <si>
    <t>Which part of the plant absorbs water and nutrients from the soil?</t>
  </si>
  <si>
    <t>Root</t>
  </si>
  <si>
    <t>Leaves</t>
  </si>
  <si>
    <t>Stem</t>
  </si>
  <si>
    <t>Flower</t>
  </si>
  <si>
    <t>What play is awarded when a defender commits a foul inside their own penalty area?</t>
  </si>
  <si>
    <t>Penalty kick</t>
  </si>
  <si>
    <t>Direct free kick</t>
  </si>
  <si>
    <t>Corner kick</t>
  </si>
  <si>
    <t>Throw-in</t>
  </si>
  <si>
    <t>What is half of 150?</t>
  </si>
  <si>
    <t>Which country is shaped like a boot on the map of Europe and has won 4 World Cups?</t>
  </si>
  <si>
    <t>What type of animal is a whale based on how it is born?</t>
  </si>
  <si>
    <t>Viviparous mammal</t>
  </si>
  <si>
    <t>Oviparous bird</t>
  </si>
  <si>
    <t>Reptile</t>
  </si>
  <si>
    <t>Amphibian</t>
  </si>
  <si>
    <t>What letter always goes before 'P' and 'B' in Spanish words like "campo" or "tambor"?</t>
  </si>
  <si>
    <t>If a match is tied 2-2 and 30 extra minutes are played to break the tie, what is that time called?</t>
  </si>
  <si>
    <t>Extra time (or overtime)</t>
  </si>
  <si>
    <t>Penalty shootout</t>
  </si>
  <si>
    <t>Halftime</t>
  </si>
  <si>
    <t>Injury time</t>
  </si>
  <si>
    <t>Which long bone do we have in our thigh, which is also the longest bone in the human body?</t>
  </si>
  <si>
    <t>Femur</t>
  </si>
  <si>
    <t>Rib</t>
  </si>
  <si>
    <t>Skull</t>
  </si>
  <si>
    <t>Radius</t>
  </si>
  <si>
    <t>What is the result of the mathematical operation 100 - 35?</t>
  </si>
  <si>
    <t>Which African team made history by reaching the semifinals for the first time in Qatar 2022?</t>
  </si>
  <si>
    <t>Morocco</t>
  </si>
  <si>
    <t>Cameroon</t>
  </si>
  <si>
    <t>What are animals that eat both plants and meat called?</t>
  </si>
  <si>
    <t>Omnivores</t>
  </si>
  <si>
    <t>Herbivores</t>
  </si>
  <si>
    <t>Carnivores</t>
  </si>
  <si>
    <t>Insectivores</t>
  </si>
  <si>
    <t>What is the result of dividing 24 by 6?</t>
  </si>
  <si>
    <t>Which city in the world is famous for having the Eiffel Tower?</t>
  </si>
  <si>
    <t>Paris</t>
  </si>
  <si>
    <t>London</t>
  </si>
  <si>
    <t>Rome</t>
  </si>
  <si>
    <t>What is the tournament where the best clubs in Europe play, which is different from the World Cup?</t>
  </si>
  <si>
    <t>World Cup</t>
  </si>
  <si>
    <t>Which system in our body allows us to move and supports our muscles?</t>
  </si>
  <si>
    <t>Skeletal system</t>
  </si>
  <si>
    <t>Digestive system</t>
  </si>
  <si>
    <t>Respiratory system</t>
  </si>
  <si>
    <t>Circulatory system</t>
  </si>
  <si>
    <t>What word is the antonym of "build"?</t>
  </si>
  <si>
    <t>Destroy</t>
  </si>
  <si>
    <t>Make</t>
  </si>
  <si>
    <t>Create</t>
  </si>
  <si>
    <t>Paint</t>
  </si>
  <si>
    <t>If an athlete runs 2 kilometers, how many meters did they run in total?</t>
  </si>
  <si>
    <t>2000 meters</t>
  </si>
  <si>
    <t>200 meters</t>
  </si>
  <si>
    <t>20 meters</t>
  </si>
  <si>
    <t>5000 meters</t>
  </si>
  <si>
    <t>Which French player scored three goals in the final of the 2022 World Cup?</t>
  </si>
  <si>
    <t>Which of the following geometric shapes has no corners or flat faces?</t>
  </si>
  <si>
    <t>Sphere</t>
  </si>
  <si>
    <t>Cube</t>
  </si>
  <si>
    <t>Prism</t>
  </si>
  <si>
    <t>Pyramid</t>
  </si>
  <si>
    <t>What is the official language spoken in Brazil?</t>
  </si>
  <si>
    <t>Portuguese</t>
  </si>
  <si>
    <t>Spanish</t>
  </si>
  <si>
    <t>English</t>
  </si>
  <si>
    <t>French</t>
  </si>
  <si>
    <t>What technological tool now helps referees by reviewing plays with television cameras?</t>
  </si>
  <si>
    <t>How many months are in a whole year?</t>
  </si>
  <si>
    <t>In the story of Little Red Riding Hood, who is the character that disguises themselves as the grandmother?</t>
  </si>
  <si>
    <t>The big bad wolf</t>
  </si>
  <si>
    <t>The hunter</t>
  </si>
  <si>
    <t>The woodcutter</t>
  </si>
  <si>
    <t>The prince</t>
  </si>
  <si>
    <t>What color results from mixing blue paint and yellow paint?</t>
  </si>
  <si>
    <t>What is a player who positions themselves just behind the forwards to organize the play called?</t>
  </si>
  <si>
    <t>Midfielder</t>
  </si>
  <si>
    <t>Center back</t>
  </si>
  <si>
    <t>Fullback</t>
  </si>
  <si>
    <t>How many extra minutes does each of the two periods played in extra time last?</t>
  </si>
  <si>
    <t>15 minutes</t>
  </si>
  <si>
    <t>10 minutes</t>
  </si>
  <si>
    <t>5 minutes</t>
  </si>
  <si>
    <t>What is the result of multiplying 12 x 5?</t>
  </si>
  <si>
    <t>Which country holds the record for playing in every single edition of the World Cup in history?</t>
  </si>
  <si>
    <t>Proparoxytone (Esdrújula)</t>
  </si>
  <si>
    <t>Oxytone (Aguda)</t>
  </si>
  <si>
    <t>Paroxytone (Grave)</t>
  </si>
  <si>
    <t>Preproparoxytone (Sobreesdrújula)</t>
  </si>
  <si>
    <t>Who is the all-time top scorer in the history of the men's soccer World Cup?</t>
  </si>
  <si>
    <t>Which movement of the Earth takes 365 days and gives rise to the four seasons?</t>
  </si>
  <si>
    <t>Translation</t>
  </si>
  <si>
    <t>Rotation</t>
  </si>
  <si>
    <t>Nutation</t>
  </si>
  <si>
    <t>Precession</t>
  </si>
  <si>
    <t>What is the result of dividing 100 by 4?</t>
  </si>
  <si>
    <t>On which continent is the Sahara Desert located?</t>
  </si>
  <si>
    <t>Oceania</t>
  </si>
  <si>
    <t>Which national team eliminated the Netherlands on penalties in the quarterfinals of Qatar 2022?</t>
  </si>
  <si>
    <t>Croatia</t>
  </si>
  <si>
    <t>What is the process called by which plants make their own food?</t>
  </si>
  <si>
    <t>Photosynthesis</t>
  </si>
  <si>
    <t>Respiration</t>
  </si>
  <si>
    <t>Transpiration</t>
  </si>
  <si>
    <t>Digestion</t>
  </si>
  <si>
    <t>What Roman numeral represents the number 50?</t>
  </si>
  <si>
    <t>Which of these words is a collective noun?</t>
  </si>
  <si>
    <t>Pack (Jauría)</t>
  </si>
  <si>
    <t>Wolves</t>
  </si>
  <si>
    <t>Animals</t>
  </si>
  <si>
    <t>In what year was FIFA, the governing body of world soccer, founded?</t>
  </si>
  <si>
    <t>If an angle measures exactly 90 degrees, what is it called?</t>
  </si>
  <si>
    <t>Right angle</t>
  </si>
  <si>
    <t>Acute angle</t>
  </si>
  <si>
    <t>Obtuse angle</t>
  </si>
  <si>
    <t>Straight angle</t>
  </si>
  <si>
    <t>Which gas is essential for humans to breathe?</t>
  </si>
  <si>
    <t>Nitrogen</t>
  </si>
  <si>
    <t>Hydrogen</t>
  </si>
  <si>
    <t>What is the capital of Spain, the country that became world champion in 2010?</t>
  </si>
  <si>
    <t>Seville</t>
  </si>
  <si>
    <t>How many years are in a decade?</t>
  </si>
  <si>
    <t>5 years</t>
  </si>
  <si>
    <t>Which famous club cup features the best teams in South America competing every year?</t>
  </si>
  <si>
    <t>What is the result of the operation 350 + 450 - 200?</t>
  </si>
  <si>
    <t>What is the thick, red liquid that travels through our arteries and veins called?</t>
  </si>
  <si>
    <t>Blood</t>
  </si>
  <si>
    <t>Which player is known as "O Rei" (The King) and won three World Cups with Brazil?</t>
  </si>
  <si>
    <t>Which of the following verbs is in the past tense?</t>
  </si>
  <si>
    <t>Escribió (Wrote)</t>
  </si>
  <si>
    <t>Escribe (Writes)</t>
  </si>
  <si>
    <t>Escribirá (Will write)</t>
  </si>
  <si>
    <t>Escribir (To write)</t>
  </si>
  <si>
    <t>Which planet is closest to the Sun in our solar system?</t>
  </si>
  <si>
    <t>Mercury</t>
  </si>
  <si>
    <t>Which South American country hosted the soccer World Cup in the year 2014?</t>
  </si>
  <si>
    <t>What is 1,500 meters expressed in kilometers?</t>
  </si>
  <si>
    <t>1.5 km</t>
  </si>
  <si>
    <t>0.15 km</t>
  </si>
  <si>
    <t>Which mountain range, the longest in the world, passes through the west of South America?</t>
  </si>
  <si>
    <t>Andes Mountains</t>
  </si>
  <si>
    <t>The Alps</t>
  </si>
  <si>
    <t>The Himalayas</t>
  </si>
  <si>
    <t>The Pyrenees</t>
  </si>
  <si>
    <t>What is the infraction called when a forward receives the ball ahead of the last opponent defender?</t>
  </si>
  <si>
    <t>Offside</t>
  </si>
  <si>
    <t>Technical foul</t>
  </si>
  <si>
    <t>Goal kick</t>
  </si>
  <si>
    <t>What is the correct combination of the three main states of matter?</t>
  </si>
  <si>
    <t>Solid, liquid, and gas</t>
  </si>
  <si>
    <t>Water, earth, and air</t>
  </si>
  <si>
    <t>Heat, cold, and mild</t>
  </si>
  <si>
    <t>Gold, silver, and bronze</t>
  </si>
  <si>
    <t>How many sides does a geometric shape called a hexagon have?</t>
  </si>
  <si>
    <t>Which spelling rule tells us when to use 'b' or 'v' in the Spanish word "cambio"?</t>
  </si>
  <si>
    <t>Before 'b' and 'p' we write 'm'</t>
  </si>
  <si>
    <t>We write 'v' after 'n'</t>
  </si>
  <si>
    <t>Words with 'b' have an accent</t>
  </si>
  <si>
    <t>'b' always goes at the end</t>
  </si>
  <si>
    <t>In which World Cup was the VAR technology used for the very first time?</t>
  </si>
  <si>
    <t>Russia 2018</t>
  </si>
  <si>
    <t>Brazil 2014</t>
  </si>
  <si>
    <t>South Africa 2010</t>
  </si>
  <si>
    <t>If the perimeter of a square measures 20 cm, how long is each of its sides?</t>
  </si>
  <si>
    <t>Which invertebrate animal produces the honey we consume?</t>
  </si>
  <si>
    <t>Butterfly</t>
  </si>
  <si>
    <t>Wasp</t>
  </si>
  <si>
    <t>Which European team wears an orange jersey and is historically known as the "Clockwork Orange"?</t>
  </si>
  <si>
    <t>Netherlands (Holland)</t>
  </si>
  <si>
    <t>Belgium</t>
  </si>
  <si>
    <t>In the sentence "Ellos juegan muy bien" (They play very well), which is the personal pronoun?</t>
  </si>
  <si>
    <t>Ellos (They)</t>
  </si>
  <si>
    <t>Juegan (Play)</t>
  </si>
  <si>
    <t>Muy (Very)</t>
  </si>
  <si>
    <t>Bien (Well)</t>
  </si>
  <si>
    <t>Which is the main organ of the nervous system that controls the entire body?</t>
  </si>
  <si>
    <t>Liver</t>
  </si>
  <si>
    <t>Which country hosted the 1994 World Cup, where soccer began to become very popular in North America?</t>
  </si>
  <si>
    <t>What is the result of multiplying 9 x 7?</t>
  </si>
  <si>
    <t>Which ocean separates the American continent from the European and African continents?</t>
  </si>
  <si>
    <t>Atlantic Ocean</t>
  </si>
  <si>
    <t>Pacific Ocean</t>
  </si>
  <si>
    <t>Indian Ocean</t>
  </si>
  <si>
    <t>Arctic Ocean</t>
  </si>
  <si>
    <t>Which English player is famous for his free kicks and for playing for Real Madrid and Manchester United?</t>
  </si>
  <si>
    <t>What type of mixture is water with salt if you cannot tell its components apart at first glance?</t>
  </si>
  <si>
    <t>Homogeneous</t>
  </si>
  <si>
    <t>Heterogeneous</t>
  </si>
  <si>
    <t>Chemical</t>
  </si>
  <si>
    <t>Pure</t>
  </si>
  <si>
    <t>What is triple the number 15?</t>
  </si>
  <si>
    <t>Which part of the flower is responsible for attracting pollinating insects thanks to its colors?</t>
  </si>
  <si>
    <t>Petals</t>
  </si>
  <si>
    <t>What is a friendly match played by national teams before starting the World Cup called?</t>
  </si>
  <si>
    <t>Warm-up match</t>
  </si>
  <si>
    <t>Qualifier</t>
  </si>
  <si>
    <t>Extra time</t>
  </si>
  <si>
    <t>1 whole</t>
  </si>
  <si>
    <t>Which Asian country became the first on its continent to host a World Cup alongside Japan in 2002?</t>
  </si>
  <si>
    <t>South Korea</t>
  </si>
  <si>
    <t>Saudi Arabia</t>
  </si>
  <si>
    <t>Which system of the body is responsible for turning food into nutrients?</t>
  </si>
  <si>
    <t>How many seconds are in a full minute?</t>
  </si>
  <si>
    <t>What is the individual award given every year to the best soccer player in the world called?</t>
  </si>
  <si>
    <t>Ballon d'Or</t>
  </si>
  <si>
    <t>Golden Boot</t>
  </si>
  <si>
    <t>Golden Glove</t>
  </si>
  <si>
    <t>Which African country made history by becoming the first on its continent to host a World Cup in the year 2010?</t>
  </si>
  <si>
    <t>South Africa</t>
  </si>
  <si>
    <t>Egypt</t>
  </si>
  <si>
    <t>What type of word is "brújula" (compass) according to the position of its stressed syllable?</t>
  </si>
  <si>
    <t>Which fraction is equivalent to 2/4?</t>
  </si>
  <si>
    <t>Which player holds the record for winning the most World Cups (3 in total) as a footballer?</t>
  </si>
  <si>
    <t>What is the process called by which liquid water turns into vapor due to the sun's heat?</t>
  </si>
  <si>
    <t>Evaporation</t>
  </si>
  <si>
    <t>Condensation</t>
  </si>
  <si>
    <t>Solidification</t>
  </si>
  <si>
    <t>Filtration</t>
  </si>
  <si>
    <t>What is the result of dividing 144 by 12?</t>
  </si>
  <si>
    <t>Which Asian mountain range is home to the highest mountains on the planet, including Mount Everest?</t>
  </si>
  <si>
    <t>The Andes</t>
  </si>
  <si>
    <t>Which national team eliminated Brazil in the quarterfinals of the Qatar 2022 World Cup?</t>
  </si>
  <si>
    <t>Netherlands</t>
  </si>
  <si>
    <t>Which system of the human body is responsible for defending it against bacteria and viruses?</t>
  </si>
  <si>
    <t>Immune system</t>
  </si>
  <si>
    <t>Endocrine system</t>
  </si>
  <si>
    <t>Nervous system</t>
  </si>
  <si>
    <t>How do you write the number 99 in Roman numerals?</t>
  </si>
  <si>
    <t>In the sentence "La casa es extremadamente grande" (The house is extremely big), what type of word is "extremadamente"?</t>
  </si>
  <si>
    <t>Adverb of quantity</t>
  </si>
  <si>
    <t>Descriptive adjective</t>
  </si>
  <si>
    <t>Proper noun</t>
  </si>
  <si>
    <t>In which men's World Cup was the official use of yellow and red cards introduced for the first time?</t>
  </si>
  <si>
    <t>Mexico 1970</t>
  </si>
  <si>
    <t>England 1966</t>
  </si>
  <si>
    <t>Germany 1974</t>
  </si>
  <si>
    <t>What do you call an angle that measures more than 90 degrees but less than 180 degrees?</t>
  </si>
  <si>
    <t>Obtuse</t>
  </si>
  <si>
    <t>Acute</t>
  </si>
  <si>
    <t>Right</t>
  </si>
  <si>
    <t>Straight</t>
  </si>
  <si>
    <t>Which layer of the Earth's atmosphere protects us from the sun's dangerous ultraviolet rays?</t>
  </si>
  <si>
    <t>Ozone layer</t>
  </si>
  <si>
    <t>Troposphere</t>
  </si>
  <si>
    <t>Thermosphere</t>
  </si>
  <si>
    <t>Magnetosphere</t>
  </si>
  <si>
    <t>What is the capital of Italy, a country that has won four World Cups?</t>
  </si>
  <si>
    <t>Milan</t>
  </si>
  <si>
    <t>How many years pass exactly in a millennium?</t>
  </si>
  <si>
    <t>500 years</t>
  </si>
  <si>
    <t>What is the name of the most important South American club soccer tournament that qualifies teams for the Club World Cup?</t>
  </si>
  <si>
    <t>What is the result of the operation $500 - (150 + 50)$?</t>
  </si>
  <si>
    <t>Which blood vessel is responsible for carrying oxygenated blood from the heart to the rest of the body?</t>
  </si>
  <si>
    <t>Artery</t>
  </si>
  <si>
    <t>Vein</t>
  </si>
  <si>
    <t>Capillary</t>
  </si>
  <si>
    <t>Nerve</t>
  </si>
  <si>
    <t>Who is the all-time top scorer for the Argentine national team in World Cup matches?</t>
  </si>
  <si>
    <t>Which of the following verbs is conjugated in the future tense?</t>
  </si>
  <si>
    <t>Cantará (Will sing)</t>
  </si>
  <si>
    <t>Cantó (Sang)</t>
  </si>
  <si>
    <t>Canta (Sings)</t>
  </si>
  <si>
    <t>Cantando (Singing)</t>
  </si>
  <si>
    <t>Which is the largest and most massive planet in our solar system?</t>
  </si>
  <si>
    <t>Neptune</t>
  </si>
  <si>
    <t>In which Asian country was the 2002 soccer World Cup held, the first one to be co-hosted by two nations?</t>
  </si>
  <si>
    <t>South Korea and Japan</t>
  </si>
  <si>
    <t>China and Vietnam</t>
  </si>
  <si>
    <t>Qatar and Oman</t>
  </si>
  <si>
    <t>How many square meters does a rectangular plot of land have if it measures 20 meters long by 10 meters wide?</t>
  </si>
  <si>
    <t>200 square meters</t>
  </si>
  <si>
    <t>30 square meters</t>
  </si>
  <si>
    <t>60 square meters</t>
  </si>
  <si>
    <t>100 square meters</t>
  </si>
  <si>
    <t>Which river crosses the city of Cairo in Egypt and is one of the longest in history?</t>
  </si>
  <si>
    <t>Nile River</t>
  </si>
  <si>
    <t>Amazon River</t>
  </si>
  <si>
    <t>Ganges River</t>
  </si>
  <si>
    <t>Mississippi River</t>
  </si>
  <si>
    <t>How many player substitutions per team are currently allowed during regular 90 minutes according to official rules?</t>
  </si>
  <si>
    <t>5 substitutions</t>
  </si>
  <si>
    <t>3 substitutions</t>
  </si>
  <si>
    <t>4 substitutions</t>
  </si>
  <si>
    <t>6 substitutions</t>
  </si>
  <si>
    <t>Which property of matter measures the amount of space an object occupies?</t>
  </si>
  <si>
    <t>Volume</t>
  </si>
  <si>
    <t>Mass</t>
  </si>
  <si>
    <t>Density</t>
  </si>
  <si>
    <t>Weight</t>
  </si>
  <si>
    <t>What is a regular polygon with exactly eight equal sides called?</t>
  </si>
  <si>
    <t>Octagon</t>
  </si>
  <si>
    <t>Hexagon</t>
  </si>
  <si>
    <t>Heptagon</t>
  </si>
  <si>
    <t>Decagon</t>
  </si>
  <si>
    <t>Which of the following words is spelled correctly according to Spanish grammatical rules?</t>
  </si>
  <si>
    <t>Which European country became the world champion at the 2010 World Cup in South Africa?</t>
  </si>
  <si>
    <t>If the area of a square is 36 square centimeters, how long is each of its sides?</t>
  </si>
  <si>
    <t>Which living things produce their own food through photosynthesis and are considered producers?</t>
  </si>
  <si>
    <t>Plants</t>
  </si>
  <si>
    <t>Fungi</t>
  </si>
  <si>
    <t>Bacteria</t>
  </si>
  <si>
    <t>Which European national team is historically nicknamed "La Azzurra" in soccer?</t>
  </si>
  <si>
    <t>In the sentence "Los jugadores suplentes entrenaron duro" (The substitute players trained hard), what is the core of the subject?</t>
  </si>
  <si>
    <t>Jugadores (Players)</t>
  </si>
  <si>
    <t>Los (The)</t>
  </si>
  <si>
    <t>Suplentes (Substitutes)</t>
  </si>
  <si>
    <t>Entrenaron (Trained)</t>
  </si>
  <si>
    <t>Which organ of the human body is mainly responsible for filtering blood and producing urine?</t>
  </si>
  <si>
    <t>Kidneys</t>
  </si>
  <si>
    <t>Pancreas</t>
  </si>
  <si>
    <t>Which European country hosted the 1998 World Cup, where its national team was crowned champion for the first time in history?</t>
  </si>
  <si>
    <t>England</t>
  </si>
  <si>
    <t>What is the result of multiplying $9 \times 8$?</t>
  </si>
  <si>
    <t>Which ocean is the largest and deepest on the entire planet Earth?</t>
  </si>
  <si>
    <t>Which historic French player, famous for wearing the number 10 jersey, was chosen as the best player of the 2006 World Cup in Germany?</t>
  </si>
  <si>
    <t>What type of mixture is formed when we combine water and oil, since their separate phases can be clearly seen at first glance?</t>
  </si>
  <si>
    <t>Pure substance</t>
  </si>
  <si>
    <t>Solution</t>
  </si>
  <si>
    <t>What is the result of adding $1.5 + 2.75$?</t>
  </si>
  <si>
    <t>4.25</t>
  </si>
  <si>
    <t>3.80</t>
  </si>
  <si>
    <t>4.50</t>
  </si>
  <si>
    <t>3.25</t>
  </si>
  <si>
    <t>Which part of the plant cell contains chlorophyll and is responsible for capturing sunlight?</t>
  </si>
  <si>
    <t>Chloroplast</t>
  </si>
  <si>
    <t>Nucleus</t>
  </si>
  <si>
    <t>Mitochondria</t>
  </si>
  <si>
    <t>Vacuole</t>
  </si>
  <si>
    <t>What is the preliminary phase of the World Cup called where national teams play matches within their continent to qualify?</t>
  </si>
  <si>
    <t>Qualifiers (Eliminatorias)</t>
  </si>
  <si>
    <t>Group stage</t>
  </si>
  <si>
    <t>Round of 16</t>
  </si>
  <si>
    <t>Play-offs (Repechaje)</t>
  </si>
  <si>
    <t>What is the fraction three-fourths (3/4) expressed as a decimal number?</t>
  </si>
  <si>
    <t>0.75</t>
  </si>
  <si>
    <t>0.50</t>
  </si>
  <si>
    <t>0.34</t>
  </si>
  <si>
    <t>0.25</t>
  </si>
  <si>
    <t>Which South American country was the host of the soccer World Cup held in the year 1962?</t>
  </si>
  <si>
    <t>Which body system is responsible for breaking down food to absorb its nutrients and energy?</t>
  </si>
  <si>
    <t>Excretory system</t>
  </si>
  <si>
    <t>How many minutes are in an hour and a half on the clock?</t>
  </si>
  <si>
    <t>What is the individual trophy awarded to the player who scores the most goals during an entire World Cup called?</t>
  </si>
  <si>
    <t>The Best Award</t>
  </si>
  <si>
    <t>What is the result of multiplying  25 x 4?</t>
  </si>
  <si>
    <t>What is $10 \times 0.5$ (half of 10)?</t>
  </si>
  <si>
    <t>Which country won the first World Cup in history in 1930?</t>
  </si>
  <si>
    <t>Who is the all-time top scorer in World Cup history (with 16 goals)?</t>
  </si>
  <si>
    <t>Miroslav Klose (Germany)</t>
  </si>
  <si>
    <t>Pelé (Brazil)</t>
  </si>
  <si>
    <t>Ronaldo (Brazil)</t>
  </si>
  <si>
    <t>Which movement of the Earth takes 24 hours and causes day and night?</t>
  </si>
  <si>
    <t>Tilted axis</t>
  </si>
  <si>
    <t>Orbit</t>
  </si>
  <si>
    <t>2/4 (or half)</t>
  </si>
  <si>
    <t>Which is the largest country in the entire world?</t>
  </si>
  <si>
    <t>Russia</t>
  </si>
  <si>
    <t>Which country did Argentina play against in the final of the Qatar 2022 World Cup?</t>
  </si>
  <si>
    <t>What is the center of the cell where genetic information is stored called?</t>
  </si>
  <si>
    <t>Membrane</t>
  </si>
  <si>
    <t>Cytoplasm</t>
  </si>
  <si>
    <t>In the phrase "Los jugadores corren rápido" (The players run fast), which word is the verb?</t>
  </si>
  <si>
    <t>Corren (Run)</t>
  </si>
  <si>
    <t>Rápido (Fast)</t>
  </si>
  <si>
    <t>In which European country was the 2006 World Cup played, which was won by Italy?</t>
  </si>
  <si>
    <t>What is an angle that measures exactly 90 degrees called?</t>
  </si>
  <si>
    <t>What is the layer of air that surrounds the Earth and allows us to breathe called?</t>
  </si>
  <si>
    <t>Atmosphere</t>
  </si>
  <si>
    <t>Crust</t>
  </si>
  <si>
    <t>Gravity</t>
  </si>
  <si>
    <t>What is the capital of the Netherlands (also known as Holland)?</t>
  </si>
  <si>
    <t>Amsterdam</t>
  </si>
  <si>
    <t>1,000 years</t>
  </si>
  <si>
    <t>What is the cup where the national teams of South America play called?</t>
  </si>
  <si>
    <t>What is the result of $5 + 3 \times 2$? (Remember to solve the multiplication first)</t>
  </si>
  <si>
    <t>Which components of the blood defend us from viruses and bacteria?</t>
  </si>
  <si>
    <t>White blood cells</t>
  </si>
  <si>
    <t>Red blood cells</t>
  </si>
  <si>
    <t>Platelets</t>
  </si>
  <si>
    <t>Who was the coach of Argentina when we became champions in the 1986 World Cup?</t>
  </si>
  <si>
    <t>Which is the largest star in our solar system that gives us heat every day?</t>
  </si>
  <si>
    <t>Which country from Africa surprised everyone by reaching the semifinals in Qatar 2022?</t>
  </si>
  <si>
    <t>How do you calculate the area of a rectangle?</t>
  </si>
  <si>
    <t>Base times height</t>
  </si>
  <si>
    <t>Side plus side</t>
  </si>
  <si>
    <t>Base plus height</t>
  </si>
  <si>
    <t>Dividing by two</t>
  </si>
  <si>
    <t>Which famous mountain range crosses all of Argentina from north to south?</t>
  </si>
  <si>
    <t>What do the initials VAR stand for in soccer?</t>
  </si>
  <si>
    <t>Video Assistant Referee</t>
  </si>
  <si>
    <t>Video Assistance Rapid</t>
  </si>
  <si>
    <t>Visual Agent Remote</t>
  </si>
  <si>
    <t>Validation of Arch Real</t>
  </si>
  <si>
    <t>Which property measures the amount of matter an object has?</t>
  </si>
  <si>
    <t>Temperature</t>
  </si>
  <si>
    <t>Which of these words is spelled correctly in Spanish?</t>
  </si>
  <si>
    <t>Which national team in the world has won the most World Cups (5 in total)?</t>
  </si>
  <si>
    <t>If the radius of a circle measures 4 cm, how long is its entire diameter?</t>
  </si>
  <si>
    <t>Which living things are responsible for making their own food with sunlight?</t>
  </si>
  <si>
    <t>Insects</t>
  </si>
  <si>
    <t>What do people call the Uruguayan national team because of the color of their jersey?</t>
  </si>
  <si>
    <t>In the sentence "El arquero atajó el penal" (The goalkeeper saved the penalty), which is the subject?</t>
  </si>
  <si>
    <t>El arquero (The goalkeeper)</t>
  </si>
  <si>
    <t>Atajó (Saved)</t>
  </si>
  <si>
    <t>El penal (The penalty)</t>
  </si>
  <si>
    <t>Which organ of our body is responsible for pumping blood everywhere?</t>
  </si>
  <si>
    <t>In which country in Asia was the 2022 World Cup played?</t>
  </si>
  <si>
    <t>Japan</t>
  </si>
  <si>
    <t>What is the square root of 100?</t>
  </si>
  <si>
    <t>Which is the largest ocean on planet Earth?</t>
  </si>
  <si>
    <t>Who is the number 10 player and current captain of the Croatia national team?</t>
  </si>
  <si>
    <t>What type of energy do we get thanks to the power of the wind?</t>
  </si>
  <si>
    <t>Wind energy (Eólica)</t>
  </si>
  <si>
    <t>Solar energy</t>
  </si>
  <si>
    <t>Chemical energy</t>
  </si>
  <si>
    <t>Thermal energy</t>
  </si>
  <si>
    <t>How much is $1/4 + 1/4$?</t>
  </si>
  <si>
    <t>With which organ of our body can we see colors and shapes?</t>
  </si>
  <si>
    <t>Eyes</t>
  </si>
  <si>
    <t>Ears</t>
  </si>
  <si>
    <t>Skin</t>
  </si>
  <si>
    <t>Nose</t>
  </si>
  <si>
    <t>What is the stage of the World Cup called where the best 16 teams play after the groups?</t>
  </si>
  <si>
    <t>Quarterfinals</t>
  </si>
  <si>
    <t>Semifinals</t>
  </si>
  <si>
    <t>The grand final</t>
  </si>
  <si>
    <t>How do you write the fraction "one half" (1/2) as a decimal number?</t>
  </si>
  <si>
    <t>0.5</t>
  </si>
  <si>
    <t>0.2</t>
  </si>
  <si>
    <t>0.1</t>
  </si>
  <si>
    <t>1.2</t>
  </si>
  <si>
    <t>In what year was the World Cup played in Argentina where we became champions for the first time?</t>
  </si>
  <si>
    <t>Which word describes an action in a sentence?</t>
  </si>
  <si>
    <t>Pronoun</t>
  </si>
  <si>
    <t>Which system of our body is responsible for breathing?</t>
  </si>
  <si>
    <t>How many minutes does extra time last in a match if they go to overtime (two periods)?</t>
  </si>
  <si>
    <t>30 minutes</t>
  </si>
  <si>
    <t>What is the award given to the most outstanding goalkeeper of an entire World Cup called?</t>
  </si>
  <si>
    <t>Top Scorer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</si>
</sst>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\ #,##0;[Red]\-&quot;$&quot;\ #,##0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6" fontId="1" fillId="0" borderId="1" xfId="0" applyNumberFormat="1" applyFont="1" applyBorder="1" applyAlignment="1">
      <alignment horizontal="left" vertical="center" wrapText="1" indent="1" readingOrder="1"/>
    </xf>
    <xf numFmtId="16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96" workbookViewId="0">
      <selection activeCell="A114" sqref="A114"/>
    </sheetView>
  </sheetViews>
  <sheetFormatPr baseColWidth="10" defaultRowHeight="14.4" x14ac:dyDescent="0.3"/>
  <cols>
    <col min="1" max="1" width="30.5546875" customWidth="1"/>
    <col min="2" max="2" width="19.6640625" customWidth="1"/>
    <col min="3" max="3" width="20" customWidth="1"/>
    <col min="4" max="4" width="21.44140625" customWidth="1"/>
    <col min="5" max="5" width="19.218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>
        <v>5</v>
      </c>
      <c r="C2" s="2">
        <v>4</v>
      </c>
      <c r="D2" s="2">
        <v>6</v>
      </c>
      <c r="E2" s="2">
        <v>3</v>
      </c>
    </row>
    <row r="3" spans="1:5" ht="28.2" thickBo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8.2" thickBot="1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28.2" thickBot="1" x14ac:dyDescent="0.35">
      <c r="A5" s="2" t="s">
        <v>191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28.2" thickBot="1" x14ac:dyDescent="0.3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28.2" thickBot="1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28.2" thickBot="1" x14ac:dyDescent="0.35">
      <c r="A8" s="2" t="s">
        <v>30</v>
      </c>
      <c r="B8" s="2">
        <v>3</v>
      </c>
      <c r="C8" s="2">
        <v>4</v>
      </c>
      <c r="D8" s="2">
        <v>2</v>
      </c>
      <c r="E8" s="2">
        <v>5</v>
      </c>
    </row>
    <row r="9" spans="1:5" ht="15" thickBot="1" x14ac:dyDescent="0.35">
      <c r="A9" s="2" t="s">
        <v>31</v>
      </c>
      <c r="B9" s="2" t="s">
        <v>9</v>
      </c>
      <c r="C9" s="2" t="s">
        <v>32</v>
      </c>
      <c r="D9" s="2" t="s">
        <v>33</v>
      </c>
      <c r="E9" s="2" t="s">
        <v>7</v>
      </c>
    </row>
    <row r="10" spans="1:5" ht="42" thickBot="1" x14ac:dyDescent="0.3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42" thickBot="1" x14ac:dyDescent="0.3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28.2" thickBot="1" x14ac:dyDescent="0.3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28.2" thickBot="1" x14ac:dyDescent="0.35">
      <c r="A13" s="2" t="s">
        <v>49</v>
      </c>
      <c r="B13" s="2" t="s">
        <v>50</v>
      </c>
      <c r="C13" s="2" t="s">
        <v>51</v>
      </c>
      <c r="D13" s="2" t="s">
        <v>12</v>
      </c>
      <c r="E13" s="2" t="s">
        <v>52</v>
      </c>
    </row>
    <row r="14" spans="1:5" ht="15" thickBot="1" x14ac:dyDescent="0.35">
      <c r="A14" s="2" t="s">
        <v>53</v>
      </c>
      <c r="B14" s="2">
        <v>9</v>
      </c>
      <c r="C14" s="2">
        <v>11</v>
      </c>
      <c r="D14" s="2">
        <v>8</v>
      </c>
      <c r="E14" s="2">
        <v>7</v>
      </c>
    </row>
    <row r="15" spans="1:5" ht="28.2" thickBot="1" x14ac:dyDescent="0.35">
      <c r="A15" s="2" t="s">
        <v>192</v>
      </c>
      <c r="B15" s="2" t="s">
        <v>194</v>
      </c>
      <c r="C15" s="2" t="s">
        <v>193</v>
      </c>
      <c r="D15" s="2" t="s">
        <v>195</v>
      </c>
      <c r="E15" s="2" t="s">
        <v>196</v>
      </c>
    </row>
    <row r="16" spans="1:5" ht="42" thickBot="1" x14ac:dyDescent="0.35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58</v>
      </c>
    </row>
    <row r="17" spans="1:5" ht="42" thickBot="1" x14ac:dyDescent="0.35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</row>
    <row r="18" spans="1:5" ht="42" thickBot="1" x14ac:dyDescent="0.35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13</v>
      </c>
    </row>
    <row r="19" spans="1:5" ht="28.2" thickBot="1" x14ac:dyDescent="0.35">
      <c r="A19" s="2" t="s">
        <v>68</v>
      </c>
      <c r="B19" s="2">
        <v>10</v>
      </c>
      <c r="C19" s="2">
        <v>9</v>
      </c>
      <c r="D19" s="2">
        <v>11</v>
      </c>
      <c r="E19" s="2">
        <v>5</v>
      </c>
    </row>
    <row r="20" spans="1:5" ht="28.2" thickBot="1" x14ac:dyDescent="0.35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73</v>
      </c>
    </row>
    <row r="21" spans="1:5" ht="28.2" thickBot="1" x14ac:dyDescent="0.35">
      <c r="A21" s="2" t="s">
        <v>74</v>
      </c>
      <c r="B21" s="2">
        <v>2</v>
      </c>
      <c r="C21" s="2">
        <v>4</v>
      </c>
      <c r="D21" s="2">
        <v>3</v>
      </c>
      <c r="E21" s="2">
        <v>1</v>
      </c>
    </row>
    <row r="22" spans="1:5" ht="42" thickBot="1" x14ac:dyDescent="0.35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79</v>
      </c>
    </row>
    <row r="23" spans="1:5" ht="28.2" thickBot="1" x14ac:dyDescent="0.35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84</v>
      </c>
    </row>
    <row r="24" spans="1:5" ht="28.2" thickBot="1" x14ac:dyDescent="0.35">
      <c r="A24" s="2" t="s">
        <v>85</v>
      </c>
      <c r="B24" s="2">
        <v>7</v>
      </c>
      <c r="C24" s="2">
        <v>5</v>
      </c>
      <c r="D24" s="2">
        <v>10</v>
      </c>
      <c r="E24" s="2">
        <v>6</v>
      </c>
    </row>
    <row r="25" spans="1:5" ht="28.2" thickBot="1" x14ac:dyDescent="0.35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90</v>
      </c>
    </row>
    <row r="26" spans="1:5" ht="42" thickBot="1" x14ac:dyDescent="0.35">
      <c r="A26" s="2" t="s">
        <v>91</v>
      </c>
      <c r="B26" s="2">
        <v>0</v>
      </c>
      <c r="C26" s="2">
        <v>1</v>
      </c>
      <c r="D26" s="2">
        <v>2</v>
      </c>
      <c r="E26" s="2">
        <v>10</v>
      </c>
    </row>
    <row r="27" spans="1:5" ht="28.2" thickBot="1" x14ac:dyDescent="0.35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96</v>
      </c>
    </row>
    <row r="28" spans="1:5" ht="42" thickBot="1" x14ac:dyDescent="0.35">
      <c r="A28" s="2" t="s">
        <v>97</v>
      </c>
      <c r="B28" s="2" t="s">
        <v>98</v>
      </c>
      <c r="C28" s="2" t="s">
        <v>99</v>
      </c>
      <c r="D28" s="2" t="s">
        <v>197</v>
      </c>
      <c r="E28" s="2" t="s">
        <v>100</v>
      </c>
    </row>
    <row r="29" spans="1:5" ht="28.2" thickBot="1" x14ac:dyDescent="0.35">
      <c r="A29" s="2" t="s">
        <v>101</v>
      </c>
      <c r="B29" s="2" t="s">
        <v>102</v>
      </c>
      <c r="C29" s="2" t="s">
        <v>103</v>
      </c>
      <c r="D29" s="2" t="s">
        <v>104</v>
      </c>
      <c r="E29" s="2" t="s">
        <v>105</v>
      </c>
    </row>
    <row r="30" spans="1:5" ht="42" thickBot="1" x14ac:dyDescent="0.35">
      <c r="A30" s="2" t="s">
        <v>198</v>
      </c>
      <c r="B30" s="2" t="s">
        <v>106</v>
      </c>
      <c r="C30" s="2" t="s">
        <v>107</v>
      </c>
      <c r="D30" s="2" t="s">
        <v>108</v>
      </c>
      <c r="E30" s="2" t="s">
        <v>109</v>
      </c>
    </row>
    <row r="31" spans="1:5" ht="28.2" thickBot="1" x14ac:dyDescent="0.35">
      <c r="A31" s="2" t="s">
        <v>110</v>
      </c>
      <c r="B31" s="2" t="s">
        <v>111</v>
      </c>
      <c r="C31" s="2" t="s">
        <v>112</v>
      </c>
      <c r="D31" s="2" t="s">
        <v>113</v>
      </c>
      <c r="E31" s="2" t="s">
        <v>114</v>
      </c>
    </row>
    <row r="32" spans="1:5" ht="28.2" thickBot="1" x14ac:dyDescent="0.35">
      <c r="A32" s="2" t="s">
        <v>115</v>
      </c>
      <c r="B32" s="2">
        <v>20</v>
      </c>
      <c r="C32" s="2">
        <v>18</v>
      </c>
      <c r="D32" s="2">
        <v>21</v>
      </c>
      <c r="E32" s="2">
        <v>30</v>
      </c>
    </row>
    <row r="33" spans="1:5" ht="28.2" thickBot="1" x14ac:dyDescent="0.35">
      <c r="A33" s="2" t="s">
        <v>116</v>
      </c>
      <c r="B33" s="2" t="s">
        <v>117</v>
      </c>
      <c r="C33" s="2" t="s">
        <v>118</v>
      </c>
      <c r="D33" s="2" t="s">
        <v>119</v>
      </c>
      <c r="E33" s="2" t="s">
        <v>120</v>
      </c>
    </row>
    <row r="34" spans="1:5" ht="28.2" thickBot="1" x14ac:dyDescent="0.35">
      <c r="A34" s="2" t="s">
        <v>121</v>
      </c>
      <c r="B34" s="2" t="s">
        <v>52</v>
      </c>
      <c r="C34" s="2" t="s">
        <v>122</v>
      </c>
      <c r="D34" s="2" t="s">
        <v>123</v>
      </c>
      <c r="E34" s="2" t="s">
        <v>15</v>
      </c>
    </row>
    <row r="35" spans="1:5" ht="28.2" thickBot="1" x14ac:dyDescent="0.35">
      <c r="A35" s="2" t="s">
        <v>124</v>
      </c>
      <c r="B35" s="2" t="s">
        <v>125</v>
      </c>
      <c r="C35" s="2" t="s">
        <v>8</v>
      </c>
      <c r="D35" s="2" t="s">
        <v>126</v>
      </c>
      <c r="E35" s="2" t="s">
        <v>127</v>
      </c>
    </row>
    <row r="36" spans="1:5" ht="28.2" thickBot="1" x14ac:dyDescent="0.35">
      <c r="A36" s="2" t="s">
        <v>128</v>
      </c>
      <c r="B36" s="2">
        <v>8</v>
      </c>
      <c r="C36" s="2">
        <v>4</v>
      </c>
      <c r="D36" s="2">
        <v>6</v>
      </c>
      <c r="E36" s="2">
        <v>2</v>
      </c>
    </row>
    <row r="37" spans="1:5" ht="42" thickBot="1" x14ac:dyDescent="0.35">
      <c r="A37" s="2" t="s">
        <v>129</v>
      </c>
      <c r="B37" s="2" t="s">
        <v>130</v>
      </c>
      <c r="C37" s="2" t="s">
        <v>131</v>
      </c>
      <c r="D37" s="2" t="s">
        <v>132</v>
      </c>
      <c r="E37" s="2" t="s">
        <v>133</v>
      </c>
    </row>
    <row r="38" spans="1:5" ht="28.2" thickBot="1" x14ac:dyDescent="0.35">
      <c r="A38" s="2" t="s">
        <v>134</v>
      </c>
      <c r="B38" s="2" t="s">
        <v>135</v>
      </c>
      <c r="C38" s="2" t="s">
        <v>136</v>
      </c>
      <c r="D38" s="2" t="s">
        <v>137</v>
      </c>
      <c r="E38" s="2" t="s">
        <v>138</v>
      </c>
    </row>
    <row r="39" spans="1:5" ht="42" thickBot="1" x14ac:dyDescent="0.35">
      <c r="A39" s="2" t="s">
        <v>139</v>
      </c>
      <c r="B39" s="2">
        <v>6</v>
      </c>
      <c r="C39" s="2">
        <v>5</v>
      </c>
      <c r="D39" s="2">
        <v>7</v>
      </c>
      <c r="E39" s="2">
        <v>3</v>
      </c>
    </row>
    <row r="40" spans="1:5" ht="28.2" thickBot="1" x14ac:dyDescent="0.35">
      <c r="A40" s="2" t="s">
        <v>140</v>
      </c>
      <c r="B40" s="2" t="s">
        <v>199</v>
      </c>
      <c r="C40" s="2" t="s">
        <v>141</v>
      </c>
      <c r="D40" s="2" t="s">
        <v>142</v>
      </c>
      <c r="E40" s="2" t="s">
        <v>143</v>
      </c>
    </row>
    <row r="41" spans="1:5" ht="28.2" thickBot="1" x14ac:dyDescent="0.35">
      <c r="A41" s="2" t="s">
        <v>144</v>
      </c>
      <c r="B41" s="2" t="s">
        <v>145</v>
      </c>
      <c r="C41" s="2" t="s">
        <v>146</v>
      </c>
      <c r="D41" s="2" t="s">
        <v>147</v>
      </c>
      <c r="E41" s="2" t="s">
        <v>148</v>
      </c>
    </row>
    <row r="42" spans="1:5" ht="28.2" thickBot="1" x14ac:dyDescent="0.35">
      <c r="A42" s="2" t="s">
        <v>149</v>
      </c>
      <c r="B42" s="2" t="s">
        <v>150</v>
      </c>
      <c r="C42" s="2" t="s">
        <v>151</v>
      </c>
      <c r="D42" s="2" t="s">
        <v>152</v>
      </c>
      <c r="E42" s="2" t="s">
        <v>153</v>
      </c>
    </row>
    <row r="43" spans="1:5" ht="28.2" thickBot="1" x14ac:dyDescent="0.35">
      <c r="A43" s="2" t="s">
        <v>154</v>
      </c>
      <c r="B43" s="2" t="s">
        <v>48</v>
      </c>
      <c r="C43" s="2" t="s">
        <v>21</v>
      </c>
      <c r="D43" s="2" t="s">
        <v>155</v>
      </c>
      <c r="E43" s="2" t="s">
        <v>156</v>
      </c>
    </row>
    <row r="44" spans="1:5" ht="42" thickBot="1" x14ac:dyDescent="0.35">
      <c r="A44" s="2" t="s">
        <v>157</v>
      </c>
      <c r="B44" s="2" t="s">
        <v>158</v>
      </c>
      <c r="C44" s="2" t="s">
        <v>159</v>
      </c>
      <c r="D44" s="2" t="s">
        <v>160</v>
      </c>
      <c r="E44" s="2" t="s">
        <v>161</v>
      </c>
    </row>
    <row r="45" spans="1:5" ht="28.2" thickBot="1" x14ac:dyDescent="0.35">
      <c r="A45" s="2" t="s">
        <v>200</v>
      </c>
      <c r="B45" s="2" t="s">
        <v>162</v>
      </c>
      <c r="C45" s="2" t="s">
        <v>163</v>
      </c>
      <c r="D45" s="2" t="s">
        <v>164</v>
      </c>
      <c r="E45" s="2" t="s">
        <v>165</v>
      </c>
    </row>
    <row r="46" spans="1:5" ht="42" thickBot="1" x14ac:dyDescent="0.35">
      <c r="A46" s="2" t="s">
        <v>166</v>
      </c>
      <c r="B46" s="2" t="s">
        <v>167</v>
      </c>
      <c r="C46" s="2" t="s">
        <v>168</v>
      </c>
      <c r="D46" s="2" t="s">
        <v>14</v>
      </c>
      <c r="E46" s="2" t="s">
        <v>12</v>
      </c>
    </row>
    <row r="47" spans="1:5" ht="28.2" thickBot="1" x14ac:dyDescent="0.35">
      <c r="A47" s="2" t="s">
        <v>169</v>
      </c>
      <c r="B47" s="2" t="s">
        <v>170</v>
      </c>
      <c r="C47" s="2" t="s">
        <v>171</v>
      </c>
      <c r="D47" s="2" t="s">
        <v>172</v>
      </c>
      <c r="E47" s="2" t="s">
        <v>173</v>
      </c>
    </row>
    <row r="48" spans="1:5" ht="15" thickBot="1" x14ac:dyDescent="0.35">
      <c r="A48" s="2" t="s">
        <v>174</v>
      </c>
      <c r="B48" s="2" t="s">
        <v>175</v>
      </c>
      <c r="C48" s="2" t="s">
        <v>176</v>
      </c>
      <c r="D48" s="2" t="s">
        <v>7</v>
      </c>
      <c r="E48" s="2" t="s">
        <v>177</v>
      </c>
    </row>
    <row r="49" spans="1:5" ht="28.2" thickBot="1" x14ac:dyDescent="0.35">
      <c r="A49" s="2" t="s">
        <v>178</v>
      </c>
      <c r="B49" s="2" t="s">
        <v>179</v>
      </c>
      <c r="C49" s="2" t="s">
        <v>180</v>
      </c>
      <c r="D49" s="2" t="s">
        <v>181</v>
      </c>
      <c r="E49" s="2" t="s">
        <v>182</v>
      </c>
    </row>
    <row r="50" spans="1:5" ht="42" thickBot="1" x14ac:dyDescent="0.35">
      <c r="A50" s="2" t="s">
        <v>183</v>
      </c>
      <c r="B50" s="2" t="s">
        <v>56</v>
      </c>
      <c r="C50" s="2" t="s">
        <v>184</v>
      </c>
      <c r="D50" s="2" t="s">
        <v>185</v>
      </c>
      <c r="E50" s="2" t="s">
        <v>186</v>
      </c>
    </row>
    <row r="51" spans="1:5" ht="42" thickBot="1" x14ac:dyDescent="0.35">
      <c r="A51" s="2" t="s">
        <v>187</v>
      </c>
      <c r="B51" s="2" t="s">
        <v>201</v>
      </c>
      <c r="C51" s="2" t="s">
        <v>188</v>
      </c>
      <c r="D51" s="2" t="s">
        <v>189</v>
      </c>
      <c r="E51" s="2" t="s">
        <v>190</v>
      </c>
    </row>
    <row r="52" spans="1:5" ht="15" thickBot="1" x14ac:dyDescent="0.35"/>
    <row r="53" spans="1:5" ht="28.2" thickBot="1" x14ac:dyDescent="0.3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</row>
    <row r="54" spans="1:5" ht="15" thickBot="1" x14ac:dyDescent="0.35">
      <c r="A54" s="2" t="s">
        <v>971</v>
      </c>
      <c r="B54" s="2">
        <v>5</v>
      </c>
      <c r="C54" s="2">
        <v>4</v>
      </c>
      <c r="D54" s="2">
        <v>6</v>
      </c>
      <c r="E54" s="2">
        <v>3</v>
      </c>
    </row>
    <row r="55" spans="1:5" ht="28.2" thickBot="1" x14ac:dyDescent="0.35">
      <c r="A55" s="2" t="s">
        <v>972</v>
      </c>
      <c r="B55" s="2" t="s">
        <v>973</v>
      </c>
      <c r="C55" s="2" t="s">
        <v>974</v>
      </c>
      <c r="D55" s="2" t="s">
        <v>975</v>
      </c>
      <c r="E55" s="2" t="s">
        <v>976</v>
      </c>
    </row>
    <row r="56" spans="1:5" ht="28.2" thickBot="1" x14ac:dyDescent="0.35">
      <c r="A56" s="2" t="s">
        <v>977</v>
      </c>
      <c r="B56" s="2" t="s">
        <v>978</v>
      </c>
      <c r="C56" s="2" t="s">
        <v>979</v>
      </c>
      <c r="D56" s="2" t="s">
        <v>980</v>
      </c>
      <c r="E56" s="2" t="s">
        <v>981</v>
      </c>
    </row>
    <row r="57" spans="1:5" ht="55.8" thickBot="1" x14ac:dyDescent="0.35">
      <c r="A57" s="2" t="s">
        <v>982</v>
      </c>
      <c r="B57" s="2" t="s">
        <v>16</v>
      </c>
      <c r="C57" s="2" t="s">
        <v>17</v>
      </c>
      <c r="D57" s="2" t="s">
        <v>18</v>
      </c>
      <c r="E57" s="2" t="s">
        <v>19</v>
      </c>
    </row>
    <row r="58" spans="1:5" ht="28.2" thickBot="1" x14ac:dyDescent="0.35">
      <c r="A58" s="2" t="s">
        <v>983</v>
      </c>
      <c r="B58" s="2" t="s">
        <v>21</v>
      </c>
      <c r="C58" s="2" t="s">
        <v>22</v>
      </c>
      <c r="D58" s="2" t="s">
        <v>23</v>
      </c>
      <c r="E58" s="2" t="s">
        <v>24</v>
      </c>
    </row>
    <row r="59" spans="1:5" ht="28.2" thickBot="1" x14ac:dyDescent="0.35">
      <c r="A59" s="2" t="s">
        <v>984</v>
      </c>
      <c r="B59" s="2" t="s">
        <v>985</v>
      </c>
      <c r="C59" s="2" t="s">
        <v>986</v>
      </c>
      <c r="D59" s="2" t="s">
        <v>987</v>
      </c>
      <c r="E59" s="2" t="s">
        <v>988</v>
      </c>
    </row>
    <row r="60" spans="1:5" ht="28.2" thickBot="1" x14ac:dyDescent="0.35">
      <c r="A60" s="2" t="s">
        <v>989</v>
      </c>
      <c r="B60" s="2">
        <v>3</v>
      </c>
      <c r="C60" s="2">
        <v>4</v>
      </c>
      <c r="D60" s="2">
        <v>2</v>
      </c>
      <c r="E60" s="2">
        <v>5</v>
      </c>
    </row>
    <row r="61" spans="1:5" ht="15" thickBot="1" x14ac:dyDescent="0.35">
      <c r="A61" s="2" t="s">
        <v>990</v>
      </c>
      <c r="B61" s="2" t="s">
        <v>975</v>
      </c>
      <c r="C61" s="2" t="s">
        <v>991</v>
      </c>
      <c r="D61" s="2" t="s">
        <v>992</v>
      </c>
      <c r="E61" s="2" t="s">
        <v>973</v>
      </c>
    </row>
    <row r="62" spans="1:5" ht="28.2" thickBot="1" x14ac:dyDescent="0.35">
      <c r="A62" s="2" t="s">
        <v>993</v>
      </c>
      <c r="B62" s="2" t="s">
        <v>994</v>
      </c>
      <c r="C62" s="2" t="s">
        <v>995</v>
      </c>
      <c r="D62" s="2" t="s">
        <v>996</v>
      </c>
      <c r="E62" s="2" t="s">
        <v>997</v>
      </c>
    </row>
    <row r="63" spans="1:5" ht="42" thickBot="1" x14ac:dyDescent="0.35">
      <c r="A63" s="2" t="s">
        <v>998</v>
      </c>
      <c r="B63" s="2" t="s">
        <v>999</v>
      </c>
      <c r="C63" s="2" t="s">
        <v>1000</v>
      </c>
      <c r="D63" s="2" t="s">
        <v>1001</v>
      </c>
      <c r="E63" s="2" t="s">
        <v>1002</v>
      </c>
    </row>
    <row r="64" spans="1:5" ht="28.2" thickBot="1" x14ac:dyDescent="0.35">
      <c r="A64" s="2" t="s">
        <v>1003</v>
      </c>
      <c r="B64" s="2" t="s">
        <v>45</v>
      </c>
      <c r="C64" s="2" t="s">
        <v>46</v>
      </c>
      <c r="D64" s="2" t="s">
        <v>47</v>
      </c>
      <c r="E64" s="2" t="s">
        <v>48</v>
      </c>
    </row>
    <row r="65" spans="1:5" ht="28.2" thickBot="1" x14ac:dyDescent="0.35">
      <c r="A65" s="2" t="s">
        <v>1004</v>
      </c>
      <c r="B65" s="2" t="s">
        <v>1005</v>
      </c>
      <c r="C65" s="2" t="s">
        <v>1006</v>
      </c>
      <c r="D65" s="2" t="s">
        <v>978</v>
      </c>
      <c r="E65" s="2" t="s">
        <v>1007</v>
      </c>
    </row>
    <row r="66" spans="1:5" ht="28.2" thickBot="1" x14ac:dyDescent="0.35">
      <c r="A66" s="2" t="s">
        <v>1008</v>
      </c>
      <c r="B66" s="2">
        <v>9</v>
      </c>
      <c r="C66" s="2">
        <v>11</v>
      </c>
      <c r="D66" s="2">
        <v>8</v>
      </c>
      <c r="E66" s="2">
        <v>7</v>
      </c>
    </row>
    <row r="67" spans="1:5" ht="28.2" thickBot="1" x14ac:dyDescent="0.35">
      <c r="A67" s="2" t="s">
        <v>1009</v>
      </c>
      <c r="B67" s="2" t="s">
        <v>1010</v>
      </c>
      <c r="C67" s="2" t="s">
        <v>1011</v>
      </c>
      <c r="D67" s="2" t="s">
        <v>1012</v>
      </c>
      <c r="E67" s="2" t="s">
        <v>1013</v>
      </c>
    </row>
    <row r="68" spans="1:5" ht="42" thickBot="1" x14ac:dyDescent="0.35">
      <c r="A68" s="2" t="s">
        <v>1014</v>
      </c>
      <c r="B68" s="2" t="s">
        <v>1015</v>
      </c>
      <c r="C68" s="2" t="s">
        <v>1016</v>
      </c>
      <c r="D68" s="2" t="s">
        <v>1017</v>
      </c>
      <c r="E68" s="2" t="s">
        <v>1018</v>
      </c>
    </row>
    <row r="69" spans="1:5" ht="42" thickBot="1" x14ac:dyDescent="0.35">
      <c r="A69" s="2" t="s">
        <v>1019</v>
      </c>
      <c r="B69" s="2" t="s">
        <v>1020</v>
      </c>
      <c r="C69" s="2" t="s">
        <v>1021</v>
      </c>
      <c r="D69" s="2" t="s">
        <v>1022</v>
      </c>
      <c r="E69" s="2" t="s">
        <v>1023</v>
      </c>
    </row>
    <row r="70" spans="1:5" ht="42" thickBot="1" x14ac:dyDescent="0.35">
      <c r="A70" s="2" t="s">
        <v>1024</v>
      </c>
      <c r="B70" s="2" t="s">
        <v>1025</v>
      </c>
      <c r="C70" s="2" t="s">
        <v>1026</v>
      </c>
      <c r="D70" s="2" t="s">
        <v>1027</v>
      </c>
      <c r="E70" s="2" t="s">
        <v>979</v>
      </c>
    </row>
    <row r="71" spans="1:5" ht="28.2" thickBot="1" x14ac:dyDescent="0.35">
      <c r="A71" s="2" t="s">
        <v>1028</v>
      </c>
      <c r="B71" s="2">
        <v>10</v>
      </c>
      <c r="C71" s="2">
        <v>9</v>
      </c>
      <c r="D71" s="2">
        <v>11</v>
      </c>
      <c r="E71" s="2">
        <v>5</v>
      </c>
    </row>
    <row r="72" spans="1:5" ht="42" thickBot="1" x14ac:dyDescent="0.35">
      <c r="A72" s="2" t="s">
        <v>1029</v>
      </c>
      <c r="B72" s="2" t="s">
        <v>1030</v>
      </c>
      <c r="C72" s="2" t="s">
        <v>1031</v>
      </c>
      <c r="D72" s="2" t="s">
        <v>1032</v>
      </c>
      <c r="E72" s="2" t="s">
        <v>1033</v>
      </c>
    </row>
    <row r="73" spans="1:5" ht="28.2" thickBot="1" x14ac:dyDescent="0.35">
      <c r="A73" s="2" t="s">
        <v>1034</v>
      </c>
      <c r="B73" s="2">
        <v>2</v>
      </c>
      <c r="C73" s="2">
        <v>4</v>
      </c>
      <c r="D73" s="2">
        <v>3</v>
      </c>
      <c r="E73" s="2">
        <v>1</v>
      </c>
    </row>
    <row r="74" spans="1:5" ht="28.2" thickBot="1" x14ac:dyDescent="0.35">
      <c r="A74" s="2" t="s">
        <v>1035</v>
      </c>
      <c r="B74" s="2" t="s">
        <v>1036</v>
      </c>
      <c r="C74" s="2" t="s">
        <v>1037</v>
      </c>
      <c r="D74" s="2" t="s">
        <v>1038</v>
      </c>
      <c r="E74" s="2" t="s">
        <v>1039</v>
      </c>
    </row>
    <row r="75" spans="1:5" ht="28.2" thickBot="1" x14ac:dyDescent="0.35">
      <c r="A75" s="2" t="s">
        <v>1040</v>
      </c>
      <c r="B75" s="2" t="s">
        <v>1026</v>
      </c>
      <c r="C75" s="2" t="s">
        <v>1041</v>
      </c>
      <c r="D75" s="2" t="s">
        <v>1042</v>
      </c>
      <c r="E75" s="2" t="s">
        <v>978</v>
      </c>
    </row>
    <row r="76" spans="1:5" ht="15" thickBot="1" x14ac:dyDescent="0.35">
      <c r="A76" s="2" t="s">
        <v>1043</v>
      </c>
      <c r="B76" s="2">
        <v>7</v>
      </c>
      <c r="C76" s="2">
        <v>5</v>
      </c>
      <c r="D76" s="2">
        <v>10</v>
      </c>
      <c r="E76" s="2">
        <v>6</v>
      </c>
    </row>
    <row r="77" spans="1:5" ht="28.2" thickBot="1" x14ac:dyDescent="0.35">
      <c r="A77" s="2" t="s">
        <v>1044</v>
      </c>
      <c r="B77" s="2" t="s">
        <v>1045</v>
      </c>
      <c r="C77" s="2" t="s">
        <v>1046</v>
      </c>
      <c r="D77" s="2" t="s">
        <v>1047</v>
      </c>
      <c r="E77" s="2" t="s">
        <v>1048</v>
      </c>
    </row>
    <row r="78" spans="1:5" ht="28.2" thickBot="1" x14ac:dyDescent="0.35">
      <c r="A78" s="2" t="s">
        <v>1049</v>
      </c>
      <c r="B78" s="2">
        <v>0</v>
      </c>
      <c r="C78" s="2">
        <v>1</v>
      </c>
      <c r="D78" s="2">
        <v>2</v>
      </c>
      <c r="E78" s="2">
        <v>10</v>
      </c>
    </row>
    <row r="79" spans="1:5" ht="42" thickBot="1" x14ac:dyDescent="0.35">
      <c r="A79" s="2" t="s">
        <v>1050</v>
      </c>
      <c r="B79" s="2" t="s">
        <v>1051</v>
      </c>
      <c r="C79" s="2" t="s">
        <v>1052</v>
      </c>
      <c r="D79" s="2" t="s">
        <v>1053</v>
      </c>
      <c r="E79" s="2" t="s">
        <v>1054</v>
      </c>
    </row>
    <row r="80" spans="1:5" ht="28.2" thickBot="1" x14ac:dyDescent="0.35">
      <c r="A80" s="2" t="s">
        <v>1055</v>
      </c>
      <c r="B80" s="2" t="s">
        <v>1056</v>
      </c>
      <c r="C80" s="2" t="s">
        <v>1057</v>
      </c>
      <c r="D80" s="2" t="s">
        <v>1058</v>
      </c>
      <c r="E80" s="2" t="s">
        <v>1059</v>
      </c>
    </row>
    <row r="81" spans="1:5" ht="28.2" thickBot="1" x14ac:dyDescent="0.35">
      <c r="A81" s="2" t="s">
        <v>1060</v>
      </c>
      <c r="B81" s="2" t="s">
        <v>102</v>
      </c>
      <c r="C81" s="2" t="s">
        <v>1061</v>
      </c>
      <c r="D81" s="2" t="s">
        <v>104</v>
      </c>
      <c r="E81" s="2" t="s">
        <v>1062</v>
      </c>
    </row>
    <row r="82" spans="1:5" ht="28.2" thickBot="1" x14ac:dyDescent="0.35">
      <c r="A82" s="2" t="s">
        <v>1063</v>
      </c>
      <c r="B82" s="2" t="s">
        <v>1064</v>
      </c>
      <c r="C82" s="2" t="s">
        <v>1065</v>
      </c>
      <c r="D82" s="2" t="s">
        <v>1066</v>
      </c>
      <c r="E82" s="2" t="s">
        <v>1067</v>
      </c>
    </row>
    <row r="83" spans="1:5" ht="28.2" thickBot="1" x14ac:dyDescent="0.35">
      <c r="A83" s="2" t="s">
        <v>1068</v>
      </c>
      <c r="B83" s="2" t="s">
        <v>111</v>
      </c>
      <c r="C83" s="2" t="s">
        <v>112</v>
      </c>
      <c r="D83" s="2" t="s">
        <v>113</v>
      </c>
      <c r="E83" s="2" t="s">
        <v>114</v>
      </c>
    </row>
    <row r="84" spans="1:5" ht="28.2" thickBot="1" x14ac:dyDescent="0.35">
      <c r="A84" s="2" t="s">
        <v>1069</v>
      </c>
      <c r="B84" s="2">
        <v>20</v>
      </c>
      <c r="C84" s="2">
        <v>18</v>
      </c>
      <c r="D84" s="2">
        <v>21</v>
      </c>
      <c r="E84" s="2">
        <v>30</v>
      </c>
    </row>
    <row r="85" spans="1:5" ht="28.2" thickBot="1" x14ac:dyDescent="0.35">
      <c r="A85" s="2" t="s">
        <v>1070</v>
      </c>
      <c r="B85" s="2" t="s">
        <v>1071</v>
      </c>
      <c r="C85" s="2" t="s">
        <v>1072</v>
      </c>
      <c r="D85" s="2" t="s">
        <v>1073</v>
      </c>
      <c r="E85" s="2" t="s">
        <v>1074</v>
      </c>
    </row>
    <row r="86" spans="1:5" ht="28.2" thickBot="1" x14ac:dyDescent="0.35">
      <c r="A86" s="2" t="s">
        <v>1075</v>
      </c>
      <c r="B86" s="2" t="s">
        <v>1007</v>
      </c>
      <c r="C86" s="2" t="s">
        <v>1076</v>
      </c>
      <c r="D86" s="2" t="s">
        <v>1077</v>
      </c>
      <c r="E86" s="2" t="s">
        <v>981</v>
      </c>
    </row>
    <row r="87" spans="1:5" ht="28.2" thickBot="1" x14ac:dyDescent="0.35">
      <c r="A87" s="2" t="s">
        <v>1078</v>
      </c>
      <c r="B87" s="2" t="s">
        <v>976</v>
      </c>
      <c r="C87" s="2" t="s">
        <v>974</v>
      </c>
      <c r="D87" s="2" t="s">
        <v>992</v>
      </c>
      <c r="E87" s="2" t="s">
        <v>991</v>
      </c>
    </row>
    <row r="88" spans="1:5" ht="28.2" thickBot="1" x14ac:dyDescent="0.35">
      <c r="A88" s="2" t="s">
        <v>1079</v>
      </c>
      <c r="B88" s="2">
        <v>8</v>
      </c>
      <c r="C88" s="2">
        <v>4</v>
      </c>
      <c r="D88" s="2">
        <v>6</v>
      </c>
      <c r="E88" s="2">
        <v>2</v>
      </c>
    </row>
    <row r="89" spans="1:5" ht="42" thickBot="1" x14ac:dyDescent="0.35">
      <c r="A89" s="2" t="s">
        <v>1080</v>
      </c>
      <c r="B89" s="2" t="s">
        <v>1081</v>
      </c>
      <c r="C89" s="2" t="s">
        <v>1082</v>
      </c>
      <c r="D89" s="2" t="s">
        <v>1083</v>
      </c>
      <c r="E89" s="2" t="s">
        <v>1084</v>
      </c>
    </row>
    <row r="90" spans="1:5" ht="42" thickBot="1" x14ac:dyDescent="0.35">
      <c r="A90" s="2" t="s">
        <v>1085</v>
      </c>
      <c r="B90" s="2" t="s">
        <v>1086</v>
      </c>
      <c r="C90" s="2" t="s">
        <v>1087</v>
      </c>
      <c r="D90" s="2" t="s">
        <v>1088</v>
      </c>
      <c r="E90" s="2" t="s">
        <v>1089</v>
      </c>
    </row>
    <row r="91" spans="1:5" ht="42" thickBot="1" x14ac:dyDescent="0.35">
      <c r="A91" s="2" t="s">
        <v>1090</v>
      </c>
      <c r="B91" s="2">
        <v>6</v>
      </c>
      <c r="C91" s="2">
        <v>5</v>
      </c>
      <c r="D91" s="2">
        <v>7</v>
      </c>
      <c r="E91" s="2">
        <v>3</v>
      </c>
    </row>
    <row r="92" spans="1:5" ht="28.2" thickBot="1" x14ac:dyDescent="0.35">
      <c r="A92" s="2" t="s">
        <v>1091</v>
      </c>
      <c r="B92" s="2" t="s">
        <v>1092</v>
      </c>
      <c r="C92" s="2" t="s">
        <v>1093</v>
      </c>
      <c r="D92" s="2" t="s">
        <v>1094</v>
      </c>
      <c r="E92" s="2" t="s">
        <v>1095</v>
      </c>
    </row>
    <row r="93" spans="1:5" ht="28.2" thickBot="1" x14ac:dyDescent="0.35">
      <c r="A93" s="2" t="s">
        <v>1096</v>
      </c>
      <c r="B93" s="2" t="s">
        <v>1097</v>
      </c>
      <c r="C93" s="2" t="s">
        <v>1098</v>
      </c>
      <c r="D93" s="2" t="s">
        <v>1099</v>
      </c>
      <c r="E93" s="2" t="s">
        <v>1100</v>
      </c>
    </row>
    <row r="94" spans="1:5" ht="28.2" thickBot="1" x14ac:dyDescent="0.35">
      <c r="A94" s="2" t="s">
        <v>1101</v>
      </c>
      <c r="B94" s="2" t="s">
        <v>48</v>
      </c>
      <c r="C94" s="2" t="s">
        <v>21</v>
      </c>
      <c r="D94" s="2" t="s">
        <v>155</v>
      </c>
      <c r="E94" s="2" t="s">
        <v>156</v>
      </c>
    </row>
    <row r="95" spans="1:5" ht="42" thickBot="1" x14ac:dyDescent="0.35">
      <c r="A95" s="2" t="s">
        <v>1102</v>
      </c>
      <c r="B95" s="2" t="s">
        <v>1103</v>
      </c>
      <c r="C95" s="2" t="s">
        <v>1104</v>
      </c>
      <c r="D95" s="2" t="s">
        <v>1105</v>
      </c>
      <c r="E95" s="2" t="s">
        <v>1106</v>
      </c>
    </row>
    <row r="96" spans="1:5" ht="42" thickBot="1" x14ac:dyDescent="0.35">
      <c r="A96" s="2" t="s">
        <v>1107</v>
      </c>
      <c r="B96" s="2" t="s">
        <v>1108</v>
      </c>
      <c r="C96" s="2" t="s">
        <v>1109</v>
      </c>
      <c r="D96" s="2" t="s">
        <v>164</v>
      </c>
      <c r="E96" s="2" t="s">
        <v>165</v>
      </c>
    </row>
    <row r="97" spans="1:5" ht="42" thickBot="1" x14ac:dyDescent="0.35">
      <c r="A97" s="2" t="s">
        <v>1110</v>
      </c>
      <c r="B97" s="2" t="s">
        <v>1111</v>
      </c>
      <c r="C97" s="2" t="s">
        <v>1112</v>
      </c>
      <c r="D97" s="2" t="s">
        <v>980</v>
      </c>
      <c r="E97" s="2" t="s">
        <v>978</v>
      </c>
    </row>
    <row r="98" spans="1:5" ht="28.2" thickBot="1" x14ac:dyDescent="0.35">
      <c r="A98" s="2" t="s">
        <v>1113</v>
      </c>
      <c r="B98" s="2">
        <v>8</v>
      </c>
      <c r="C98" s="2">
        <v>5</v>
      </c>
      <c r="D98" s="2" t="s">
        <v>1114</v>
      </c>
      <c r="E98" s="2">
        <v>2</v>
      </c>
    </row>
    <row r="99" spans="1:5" ht="15" thickBot="1" x14ac:dyDescent="0.35">
      <c r="A99" s="2" t="s">
        <v>1115</v>
      </c>
      <c r="B99" s="2" t="s">
        <v>1116</v>
      </c>
      <c r="C99" s="2" t="s">
        <v>975</v>
      </c>
      <c r="D99" s="2" t="s">
        <v>973</v>
      </c>
      <c r="E99" s="2" t="s">
        <v>1117</v>
      </c>
    </row>
    <row r="100" spans="1:5" ht="28.2" thickBot="1" x14ac:dyDescent="0.35">
      <c r="A100" s="2" t="s">
        <v>1118</v>
      </c>
      <c r="B100" s="2" t="s">
        <v>1119</v>
      </c>
      <c r="C100" s="2" t="s">
        <v>1120</v>
      </c>
      <c r="D100" s="2" t="s">
        <v>1121</v>
      </c>
      <c r="E100" s="2" t="s">
        <v>1122</v>
      </c>
    </row>
    <row r="101" spans="1:5" ht="28.2" thickBot="1" x14ac:dyDescent="0.35">
      <c r="A101" s="2" t="s">
        <v>1123</v>
      </c>
      <c r="B101" s="2" t="s">
        <v>1016</v>
      </c>
      <c r="C101" s="2" t="s">
        <v>1124</v>
      </c>
      <c r="D101" s="2" t="s">
        <v>1125</v>
      </c>
      <c r="E101" s="2" t="s">
        <v>1126</v>
      </c>
    </row>
    <row r="102" spans="1:5" ht="42" thickBot="1" x14ac:dyDescent="0.35">
      <c r="A102" s="2" t="s">
        <v>1127</v>
      </c>
      <c r="B102" s="2" t="s">
        <v>1128</v>
      </c>
      <c r="C102" s="2" t="s">
        <v>1129</v>
      </c>
      <c r="D102" s="2" t="s">
        <v>1130</v>
      </c>
      <c r="E102" s="2" t="s">
        <v>1131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opLeftCell="A50" workbookViewId="0">
      <selection activeCell="B50" sqref="B50"/>
    </sheetView>
  </sheetViews>
  <sheetFormatPr baseColWidth="10" defaultRowHeight="14.4" x14ac:dyDescent="0.3"/>
  <cols>
    <col min="1" max="1" width="24.5546875" customWidth="1"/>
    <col min="2" max="2" width="23.5546875" customWidth="1"/>
    <col min="3" max="3" width="24.6640625" customWidth="1"/>
    <col min="4" max="5" width="27.1093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202</v>
      </c>
      <c r="B2" s="2">
        <v>17</v>
      </c>
      <c r="C2" s="2">
        <v>15</v>
      </c>
      <c r="D2" s="2">
        <v>16</v>
      </c>
      <c r="E2" s="2">
        <v>18</v>
      </c>
    </row>
    <row r="3" spans="1:5" ht="55.8" thickBot="1" x14ac:dyDescent="0.35">
      <c r="A3" s="2" t="s">
        <v>203</v>
      </c>
      <c r="B3" s="2" t="s">
        <v>104</v>
      </c>
      <c r="C3" s="2" t="s">
        <v>102</v>
      </c>
      <c r="D3" s="2" t="s">
        <v>103</v>
      </c>
      <c r="E3" s="2" t="s">
        <v>204</v>
      </c>
    </row>
    <row r="4" spans="1:5" ht="28.2" thickBot="1" x14ac:dyDescent="0.35">
      <c r="A4" s="2" t="s">
        <v>205</v>
      </c>
      <c r="B4" s="2">
        <v>13</v>
      </c>
      <c r="C4" s="2">
        <v>14</v>
      </c>
      <c r="D4" s="2">
        <v>12</v>
      </c>
      <c r="E4" s="2">
        <v>15</v>
      </c>
    </row>
    <row r="5" spans="1:5" ht="42" thickBot="1" x14ac:dyDescent="0.35">
      <c r="A5" s="2" t="s">
        <v>206</v>
      </c>
      <c r="B5" s="2" t="s">
        <v>207</v>
      </c>
      <c r="C5" s="2" t="s">
        <v>208</v>
      </c>
      <c r="D5" s="2" t="s">
        <v>209</v>
      </c>
      <c r="E5" s="2" t="str">
        <f>"= (Igual)"</f>
        <v>= (Igual)</v>
      </c>
    </row>
    <row r="6" spans="1:5" ht="42" thickBot="1" x14ac:dyDescent="0.35">
      <c r="A6" s="2" t="s">
        <v>210</v>
      </c>
      <c r="B6" s="2" t="s">
        <v>211</v>
      </c>
      <c r="C6" s="2" t="s">
        <v>212</v>
      </c>
      <c r="D6" s="2" t="s">
        <v>51</v>
      </c>
      <c r="E6" s="2" t="s">
        <v>123</v>
      </c>
    </row>
    <row r="7" spans="1:5" ht="55.8" thickBot="1" x14ac:dyDescent="0.35">
      <c r="A7" s="2" t="s">
        <v>213</v>
      </c>
      <c r="B7" s="2" t="s">
        <v>369</v>
      </c>
      <c r="C7" s="2" t="s">
        <v>214</v>
      </c>
      <c r="D7" s="2" t="s">
        <v>215</v>
      </c>
      <c r="E7" s="2" t="s">
        <v>216</v>
      </c>
    </row>
    <row r="8" spans="1:5" ht="55.8" thickBot="1" x14ac:dyDescent="0.35">
      <c r="A8" s="2" t="s">
        <v>217</v>
      </c>
      <c r="B8" s="2" t="s">
        <v>218</v>
      </c>
      <c r="C8" s="2" t="s">
        <v>108</v>
      </c>
      <c r="D8" s="2" t="s">
        <v>109</v>
      </c>
      <c r="E8" s="2" t="s">
        <v>219</v>
      </c>
    </row>
    <row r="9" spans="1:5" ht="42" thickBot="1" x14ac:dyDescent="0.35">
      <c r="A9" s="2" t="s">
        <v>220</v>
      </c>
      <c r="B9" s="2" t="s">
        <v>221</v>
      </c>
      <c r="C9" s="2" t="s">
        <v>222</v>
      </c>
      <c r="D9" s="2" t="s">
        <v>223</v>
      </c>
      <c r="E9" s="2" t="s">
        <v>224</v>
      </c>
    </row>
    <row r="10" spans="1:5" ht="55.8" thickBot="1" x14ac:dyDescent="0.35">
      <c r="A10" s="2" t="s">
        <v>225</v>
      </c>
      <c r="B10" s="2" t="s">
        <v>226</v>
      </c>
      <c r="C10" s="2" t="s">
        <v>227</v>
      </c>
      <c r="D10" s="2" t="s">
        <v>228</v>
      </c>
      <c r="E10" s="2" t="s">
        <v>229</v>
      </c>
    </row>
    <row r="11" spans="1:5" ht="42" thickBot="1" x14ac:dyDescent="0.35">
      <c r="A11" s="2" t="s">
        <v>230</v>
      </c>
      <c r="B11" s="2">
        <v>35</v>
      </c>
      <c r="C11" s="2">
        <v>53</v>
      </c>
      <c r="D11" s="2">
        <v>305</v>
      </c>
      <c r="E11" s="2">
        <v>8</v>
      </c>
    </row>
    <row r="12" spans="1:5" ht="42" thickBot="1" x14ac:dyDescent="0.35">
      <c r="A12" s="2" t="s">
        <v>370</v>
      </c>
      <c r="B12" s="3">
        <v>20</v>
      </c>
      <c r="C12" s="3">
        <v>15</v>
      </c>
      <c r="D12" s="3">
        <v>30</v>
      </c>
      <c r="E12" s="3">
        <v>12</v>
      </c>
    </row>
    <row r="13" spans="1:5" ht="69.599999999999994" thickBot="1" x14ac:dyDescent="0.35">
      <c r="A13" s="2" t="s">
        <v>231</v>
      </c>
      <c r="B13" s="2" t="s">
        <v>232</v>
      </c>
      <c r="C13" s="2" t="s">
        <v>233</v>
      </c>
      <c r="D13" s="2" t="s">
        <v>234</v>
      </c>
      <c r="E13" s="2" t="s">
        <v>16</v>
      </c>
    </row>
    <row r="14" spans="1:5" ht="42" thickBot="1" x14ac:dyDescent="0.35">
      <c r="A14" s="2" t="s">
        <v>235</v>
      </c>
      <c r="B14" s="2" t="s">
        <v>236</v>
      </c>
      <c r="C14" s="2" t="s">
        <v>237</v>
      </c>
      <c r="D14" s="2" t="s">
        <v>238</v>
      </c>
      <c r="E14" s="2" t="s">
        <v>239</v>
      </c>
    </row>
    <row r="15" spans="1:5" ht="55.8" thickBot="1" x14ac:dyDescent="0.35">
      <c r="A15" s="2" t="s">
        <v>240</v>
      </c>
      <c r="B15" s="2" t="s">
        <v>241</v>
      </c>
      <c r="C15" s="2" t="s">
        <v>242</v>
      </c>
      <c r="D15" s="2" t="s">
        <v>153</v>
      </c>
      <c r="E15" s="2" t="s">
        <v>150</v>
      </c>
    </row>
    <row r="16" spans="1:5" ht="42" thickBot="1" x14ac:dyDescent="0.35">
      <c r="A16" s="2" t="s">
        <v>371</v>
      </c>
      <c r="B16" s="2" t="s">
        <v>103</v>
      </c>
      <c r="C16" s="2" t="s">
        <v>243</v>
      </c>
      <c r="D16" s="2" t="s">
        <v>105</v>
      </c>
      <c r="E16" s="2" t="s">
        <v>204</v>
      </c>
    </row>
    <row r="17" spans="1:5" ht="42" thickBot="1" x14ac:dyDescent="0.35">
      <c r="A17" s="2" t="s">
        <v>244</v>
      </c>
      <c r="B17" s="2" t="s">
        <v>245</v>
      </c>
      <c r="C17" s="2" t="s">
        <v>246</v>
      </c>
      <c r="D17" s="2" t="s">
        <v>247</v>
      </c>
      <c r="E17" s="2" t="s">
        <v>248</v>
      </c>
    </row>
    <row r="18" spans="1:5" ht="42" thickBot="1" x14ac:dyDescent="0.35">
      <c r="A18" s="2" t="s">
        <v>249</v>
      </c>
      <c r="B18" s="2" t="s">
        <v>112</v>
      </c>
      <c r="C18" s="2" t="s">
        <v>45</v>
      </c>
      <c r="D18" s="2" t="s">
        <v>111</v>
      </c>
      <c r="E18" s="2" t="s">
        <v>250</v>
      </c>
    </row>
    <row r="19" spans="1:5" ht="55.8" thickBot="1" x14ac:dyDescent="0.35">
      <c r="A19" s="2" t="s">
        <v>251</v>
      </c>
      <c r="B19" s="2" t="s">
        <v>252</v>
      </c>
      <c r="C19" s="2" t="s">
        <v>253</v>
      </c>
      <c r="D19" s="2" t="s">
        <v>254</v>
      </c>
      <c r="E19" s="2" t="s">
        <v>255</v>
      </c>
    </row>
    <row r="20" spans="1:5" ht="55.8" thickBot="1" x14ac:dyDescent="0.35">
      <c r="A20" s="2" t="s">
        <v>256</v>
      </c>
      <c r="B20" s="2">
        <v>11</v>
      </c>
      <c r="C20" s="2">
        <v>10</v>
      </c>
      <c r="D20" s="2">
        <v>7</v>
      </c>
      <c r="E20" s="2">
        <v>12</v>
      </c>
    </row>
    <row r="21" spans="1:5" ht="55.8" thickBot="1" x14ac:dyDescent="0.35">
      <c r="A21" s="2" t="s">
        <v>257</v>
      </c>
      <c r="B21" s="2" t="s">
        <v>95</v>
      </c>
      <c r="C21" s="2" t="s">
        <v>94</v>
      </c>
      <c r="D21" s="2" t="s">
        <v>96</v>
      </c>
      <c r="E21" s="2" t="s">
        <v>258</v>
      </c>
    </row>
    <row r="22" spans="1:5" ht="15" thickBot="1" x14ac:dyDescent="0.35">
      <c r="A22" s="2" t="s">
        <v>259</v>
      </c>
      <c r="B22" s="2">
        <v>16</v>
      </c>
      <c r="C22" s="2">
        <v>10</v>
      </c>
      <c r="D22" s="2">
        <v>12</v>
      </c>
      <c r="E22" s="2">
        <v>14</v>
      </c>
    </row>
    <row r="23" spans="1:5" ht="42" thickBot="1" x14ac:dyDescent="0.35">
      <c r="A23" s="2" t="s">
        <v>260</v>
      </c>
      <c r="B23" s="2" t="s">
        <v>204</v>
      </c>
      <c r="C23" s="2" t="s">
        <v>104</v>
      </c>
      <c r="D23" s="2" t="s">
        <v>102</v>
      </c>
      <c r="E23" s="2" t="s">
        <v>103</v>
      </c>
    </row>
    <row r="24" spans="1:5" ht="42" thickBot="1" x14ac:dyDescent="0.35">
      <c r="A24" s="2" t="s">
        <v>261</v>
      </c>
      <c r="B24" s="2" t="s">
        <v>262</v>
      </c>
      <c r="C24" s="2" t="s">
        <v>263</v>
      </c>
      <c r="D24" s="2" t="s">
        <v>264</v>
      </c>
      <c r="E24" s="2" t="s">
        <v>265</v>
      </c>
    </row>
    <row r="25" spans="1:5" ht="55.8" thickBot="1" x14ac:dyDescent="0.35">
      <c r="A25" s="2" t="s">
        <v>266</v>
      </c>
      <c r="B25" s="2" t="s">
        <v>267</v>
      </c>
      <c r="C25" s="2" t="s">
        <v>268</v>
      </c>
      <c r="D25" s="2" t="s">
        <v>269</v>
      </c>
      <c r="E25" s="2" t="s">
        <v>270</v>
      </c>
    </row>
    <row r="26" spans="1:5" ht="42" thickBot="1" x14ac:dyDescent="0.35">
      <c r="A26" s="2" t="s">
        <v>271</v>
      </c>
      <c r="B26" s="2" t="s">
        <v>272</v>
      </c>
      <c r="C26" s="2" t="s">
        <v>273</v>
      </c>
      <c r="D26" s="2" t="s">
        <v>274</v>
      </c>
      <c r="E26" s="2" t="s">
        <v>275</v>
      </c>
    </row>
    <row r="27" spans="1:5" ht="42" thickBot="1" x14ac:dyDescent="0.35">
      <c r="A27" s="2" t="s">
        <v>372</v>
      </c>
      <c r="B27" s="2" t="s">
        <v>373</v>
      </c>
      <c r="C27" s="2" t="s">
        <v>104</v>
      </c>
      <c r="D27" s="2" t="s">
        <v>374</v>
      </c>
      <c r="E27" s="2" t="s">
        <v>375</v>
      </c>
    </row>
    <row r="28" spans="1:5" ht="55.8" thickBot="1" x14ac:dyDescent="0.35">
      <c r="A28" s="2" t="s">
        <v>276</v>
      </c>
      <c r="B28" s="2" t="s">
        <v>277</v>
      </c>
      <c r="C28" s="2" t="s">
        <v>278</v>
      </c>
      <c r="D28" s="2" t="s">
        <v>279</v>
      </c>
      <c r="E28" s="2" t="s">
        <v>280</v>
      </c>
    </row>
    <row r="29" spans="1:5" ht="28.2" thickBot="1" x14ac:dyDescent="0.35">
      <c r="A29" s="2" t="s">
        <v>281</v>
      </c>
      <c r="B29" s="2" t="s">
        <v>282</v>
      </c>
      <c r="C29" s="2" t="s">
        <v>283</v>
      </c>
      <c r="D29" s="2" t="s">
        <v>284</v>
      </c>
      <c r="E29" s="2" t="s">
        <v>285</v>
      </c>
    </row>
    <row r="30" spans="1:5" ht="28.2" thickBot="1" x14ac:dyDescent="0.35">
      <c r="A30" s="2" t="s">
        <v>286</v>
      </c>
      <c r="B30" s="2" t="s">
        <v>287</v>
      </c>
      <c r="C30" s="2" t="s">
        <v>288</v>
      </c>
      <c r="D30" s="2" t="s">
        <v>289</v>
      </c>
      <c r="E30" s="2" t="s">
        <v>290</v>
      </c>
    </row>
    <row r="31" spans="1:5" ht="55.8" thickBot="1" x14ac:dyDescent="0.35">
      <c r="A31" s="2" t="s">
        <v>291</v>
      </c>
      <c r="B31" s="2" t="s">
        <v>131</v>
      </c>
      <c r="C31" s="2" t="s">
        <v>130</v>
      </c>
      <c r="D31" s="2" t="s">
        <v>133</v>
      </c>
      <c r="E31" s="2" t="s">
        <v>132</v>
      </c>
    </row>
    <row r="32" spans="1:5" ht="15" thickBot="1" x14ac:dyDescent="0.35">
      <c r="A32" s="2" t="s">
        <v>292</v>
      </c>
      <c r="B32" s="2">
        <v>100</v>
      </c>
      <c r="C32" s="2">
        <v>90</v>
      </c>
      <c r="D32" s="2">
        <v>80</v>
      </c>
      <c r="E32" s="2">
        <v>110</v>
      </c>
    </row>
    <row r="33" spans="1:5" ht="55.8" thickBot="1" x14ac:dyDescent="0.35">
      <c r="A33" s="2" t="s">
        <v>293</v>
      </c>
      <c r="B33" s="2" t="s">
        <v>294</v>
      </c>
      <c r="C33" s="2" t="s">
        <v>295</v>
      </c>
      <c r="D33" s="2" t="s">
        <v>296</v>
      </c>
      <c r="E33" s="2" t="s">
        <v>297</v>
      </c>
    </row>
    <row r="34" spans="1:5" ht="28.2" thickBot="1" x14ac:dyDescent="0.35">
      <c r="A34" s="2" t="s">
        <v>298</v>
      </c>
      <c r="B34" s="2" t="s">
        <v>299</v>
      </c>
      <c r="C34" s="2" t="s">
        <v>300</v>
      </c>
      <c r="D34" s="2" t="s">
        <v>301</v>
      </c>
      <c r="E34" s="2" t="s">
        <v>302</v>
      </c>
    </row>
    <row r="35" spans="1:5" ht="42" thickBot="1" x14ac:dyDescent="0.35">
      <c r="A35" s="2" t="s">
        <v>303</v>
      </c>
      <c r="B35" s="2" t="s">
        <v>304</v>
      </c>
      <c r="C35" s="2" t="s">
        <v>305</v>
      </c>
      <c r="D35" s="2" t="s">
        <v>306</v>
      </c>
      <c r="E35" s="2" t="s">
        <v>307</v>
      </c>
    </row>
    <row r="36" spans="1:5" ht="28.2" thickBot="1" x14ac:dyDescent="0.35">
      <c r="A36" s="2" t="s">
        <v>308</v>
      </c>
      <c r="B36" s="2" t="s">
        <v>309</v>
      </c>
      <c r="C36" s="2" t="s">
        <v>310</v>
      </c>
      <c r="D36" s="2" t="s">
        <v>311</v>
      </c>
      <c r="E36" s="2" t="s">
        <v>312</v>
      </c>
    </row>
    <row r="37" spans="1:5" ht="69.599999999999994" thickBot="1" x14ac:dyDescent="0.35">
      <c r="A37" s="2" t="s">
        <v>313</v>
      </c>
      <c r="B37" s="2" t="s">
        <v>314</v>
      </c>
      <c r="C37" s="2" t="s">
        <v>315</v>
      </c>
      <c r="D37" s="2" t="s">
        <v>316</v>
      </c>
      <c r="E37" s="2" t="s">
        <v>317</v>
      </c>
    </row>
    <row r="38" spans="1:5" ht="28.2" thickBot="1" x14ac:dyDescent="0.35">
      <c r="A38" s="2" t="s">
        <v>318</v>
      </c>
      <c r="B38" s="2">
        <v>6</v>
      </c>
      <c r="C38" s="2">
        <v>5</v>
      </c>
      <c r="D38" s="2">
        <v>9</v>
      </c>
      <c r="E38" s="2">
        <v>4</v>
      </c>
    </row>
    <row r="39" spans="1:5" ht="55.8" thickBot="1" x14ac:dyDescent="0.35">
      <c r="A39" s="2" t="s">
        <v>319</v>
      </c>
      <c r="B39" s="2" t="s">
        <v>320</v>
      </c>
      <c r="C39" s="2" t="s">
        <v>321</v>
      </c>
      <c r="D39" s="2" t="s">
        <v>322</v>
      </c>
      <c r="E39" s="2" t="s">
        <v>323</v>
      </c>
    </row>
    <row r="40" spans="1:5" ht="55.8" thickBot="1" x14ac:dyDescent="0.35">
      <c r="A40" s="2" t="s">
        <v>324</v>
      </c>
      <c r="B40" s="2" t="s">
        <v>325</v>
      </c>
      <c r="C40" s="2" t="s">
        <v>326</v>
      </c>
      <c r="D40" s="2" t="s">
        <v>327</v>
      </c>
      <c r="E40" s="2" t="s">
        <v>164</v>
      </c>
    </row>
    <row r="41" spans="1:5" ht="42" thickBot="1" x14ac:dyDescent="0.35">
      <c r="A41" s="2" t="s">
        <v>328</v>
      </c>
      <c r="B41" s="2" t="s">
        <v>329</v>
      </c>
      <c r="C41" s="2" t="s">
        <v>330</v>
      </c>
      <c r="D41" s="2" t="s">
        <v>331</v>
      </c>
      <c r="E41" s="2" t="s">
        <v>332</v>
      </c>
    </row>
    <row r="42" spans="1:5" ht="55.8" thickBot="1" x14ac:dyDescent="0.35">
      <c r="A42" s="2" t="s">
        <v>333</v>
      </c>
      <c r="B42" s="2">
        <v>10</v>
      </c>
      <c r="C42" s="2">
        <v>12</v>
      </c>
      <c r="D42" s="2">
        <v>5</v>
      </c>
      <c r="E42" s="2">
        <v>20</v>
      </c>
    </row>
    <row r="43" spans="1:5" ht="55.8" thickBot="1" x14ac:dyDescent="0.35">
      <c r="A43" s="2" t="s">
        <v>334</v>
      </c>
      <c r="B43" s="2" t="s">
        <v>335</v>
      </c>
      <c r="C43" s="2" t="s">
        <v>336</v>
      </c>
      <c r="D43" s="2" t="s">
        <v>337</v>
      </c>
      <c r="E43" s="2" t="s">
        <v>338</v>
      </c>
    </row>
    <row r="44" spans="1:5" ht="42" thickBot="1" x14ac:dyDescent="0.35">
      <c r="A44" s="2" t="s">
        <v>339</v>
      </c>
      <c r="B44" s="2" t="s">
        <v>340</v>
      </c>
      <c r="C44" s="2" t="s">
        <v>212</v>
      </c>
      <c r="D44" s="2" t="s">
        <v>341</v>
      </c>
      <c r="E44" s="2" t="s">
        <v>342</v>
      </c>
    </row>
    <row r="45" spans="1:5" ht="55.8" thickBot="1" x14ac:dyDescent="0.35">
      <c r="A45" s="2" t="s">
        <v>343</v>
      </c>
      <c r="B45" s="2" t="s">
        <v>344</v>
      </c>
      <c r="C45" s="2" t="s">
        <v>345</v>
      </c>
      <c r="D45" s="2" t="s">
        <v>346</v>
      </c>
      <c r="E45" s="2" t="s">
        <v>347</v>
      </c>
    </row>
    <row r="46" spans="1:5" ht="28.2" thickBot="1" x14ac:dyDescent="0.35">
      <c r="A46" s="2" t="s">
        <v>348</v>
      </c>
      <c r="B46" s="2">
        <v>98</v>
      </c>
      <c r="C46" s="2">
        <v>89</v>
      </c>
      <c r="D46" s="2" t="s">
        <v>172</v>
      </c>
      <c r="E46" s="2">
        <v>90</v>
      </c>
    </row>
    <row r="47" spans="1:5" ht="69.599999999999994" thickBot="1" x14ac:dyDescent="0.35">
      <c r="A47" s="2" t="s">
        <v>349</v>
      </c>
      <c r="B47" s="2" t="s">
        <v>350</v>
      </c>
      <c r="C47" s="2" t="s">
        <v>351</v>
      </c>
      <c r="D47" s="2" t="s">
        <v>352</v>
      </c>
      <c r="E47" s="2" t="s">
        <v>353</v>
      </c>
    </row>
    <row r="48" spans="1:5" ht="55.8" thickBot="1" x14ac:dyDescent="0.35">
      <c r="A48" s="2" t="s">
        <v>354</v>
      </c>
      <c r="B48" s="2" t="s">
        <v>355</v>
      </c>
      <c r="C48" s="2" t="s">
        <v>356</v>
      </c>
      <c r="D48" s="2" t="s">
        <v>357</v>
      </c>
      <c r="E48" s="2" t="s">
        <v>358</v>
      </c>
    </row>
    <row r="49" spans="1:5" ht="42" thickBot="1" x14ac:dyDescent="0.35">
      <c r="A49" s="2" t="s">
        <v>359</v>
      </c>
      <c r="B49" s="2" t="s">
        <v>360</v>
      </c>
      <c r="C49" s="2" t="s">
        <v>361</v>
      </c>
      <c r="D49" s="2" t="s">
        <v>362</v>
      </c>
      <c r="E49" s="2" t="s">
        <v>70</v>
      </c>
    </row>
    <row r="50" spans="1:5" ht="42" thickBot="1" x14ac:dyDescent="0.35">
      <c r="A50" s="2" t="s">
        <v>363</v>
      </c>
      <c r="B50" s="2">
        <v>12</v>
      </c>
      <c r="C50" s="2">
        <v>10</v>
      </c>
      <c r="D50" s="2">
        <v>6</v>
      </c>
      <c r="E50" s="2">
        <v>24</v>
      </c>
    </row>
    <row r="51" spans="1:5" ht="55.8" thickBot="1" x14ac:dyDescent="0.35">
      <c r="A51" s="2" t="s">
        <v>364</v>
      </c>
      <c r="B51" s="2" t="s">
        <v>365</v>
      </c>
      <c r="C51" s="2" t="s">
        <v>366</v>
      </c>
      <c r="D51" s="2" t="s">
        <v>367</v>
      </c>
      <c r="E51" s="2" t="s">
        <v>368</v>
      </c>
    </row>
    <row r="52" spans="1:5" ht="15" thickBot="1" x14ac:dyDescent="0.35"/>
    <row r="53" spans="1:5" ht="15" thickBot="1" x14ac:dyDescent="0.35">
      <c r="A53" s="1" t="s">
        <v>1132</v>
      </c>
      <c r="B53" s="1" t="s">
        <v>1133</v>
      </c>
      <c r="C53" s="1" t="s">
        <v>1134</v>
      </c>
      <c r="D53" s="1" t="s">
        <v>1135</v>
      </c>
      <c r="E53" s="1" t="s">
        <v>1136</v>
      </c>
    </row>
    <row r="54" spans="1:5" ht="15" thickBot="1" x14ac:dyDescent="0.35">
      <c r="A54" s="2" t="s">
        <v>1137</v>
      </c>
      <c r="B54" s="2">
        <v>17</v>
      </c>
      <c r="C54" s="2">
        <v>15</v>
      </c>
      <c r="D54" s="2">
        <v>16</v>
      </c>
      <c r="E54" s="2">
        <v>18</v>
      </c>
    </row>
    <row r="55" spans="1:5" ht="55.8" thickBot="1" x14ac:dyDescent="0.35">
      <c r="A55" s="2" t="s">
        <v>1138</v>
      </c>
      <c r="B55" s="2" t="s">
        <v>1139</v>
      </c>
      <c r="C55" s="2" t="s">
        <v>102</v>
      </c>
      <c r="D55" s="2" t="s">
        <v>1061</v>
      </c>
      <c r="E55" s="2" t="s">
        <v>1140</v>
      </c>
    </row>
    <row r="56" spans="1:5" ht="28.2" thickBot="1" x14ac:dyDescent="0.35">
      <c r="A56" s="2" t="s">
        <v>1141</v>
      </c>
      <c r="B56" s="2">
        <v>13</v>
      </c>
      <c r="C56" s="2">
        <v>14</v>
      </c>
      <c r="D56" s="2">
        <v>12</v>
      </c>
      <c r="E56" s="2">
        <v>15</v>
      </c>
    </row>
    <row r="57" spans="1:5" ht="42" thickBot="1" x14ac:dyDescent="0.35">
      <c r="A57" s="2" t="s">
        <v>1142</v>
      </c>
      <c r="B57" s="2" t="s">
        <v>1143</v>
      </c>
      <c r="C57" s="2" t="s">
        <v>1144</v>
      </c>
      <c r="D57" s="2" t="s">
        <v>1145</v>
      </c>
      <c r="E57" s="2" t="str">
        <f xml:space="preserve"> "= (Equals)"</f>
        <v>= (Equals)</v>
      </c>
    </row>
    <row r="58" spans="1:5" ht="42" thickBot="1" x14ac:dyDescent="0.35">
      <c r="A58" s="2" t="s">
        <v>1146</v>
      </c>
      <c r="B58" s="2" t="s">
        <v>1147</v>
      </c>
      <c r="C58" s="2" t="s">
        <v>1148</v>
      </c>
      <c r="D58" s="2" t="s">
        <v>1006</v>
      </c>
      <c r="E58" s="2" t="s">
        <v>1077</v>
      </c>
    </row>
    <row r="59" spans="1:5" ht="55.8" thickBot="1" x14ac:dyDescent="0.35">
      <c r="A59" s="2" t="s">
        <v>1149</v>
      </c>
      <c r="B59" s="2" t="s">
        <v>1150</v>
      </c>
      <c r="C59" s="2" t="s">
        <v>1151</v>
      </c>
      <c r="D59" s="2" t="s">
        <v>1152</v>
      </c>
      <c r="E59" s="2" t="s">
        <v>1153</v>
      </c>
    </row>
    <row r="60" spans="1:5" ht="55.8" thickBot="1" x14ac:dyDescent="0.35">
      <c r="A60" s="2" t="s">
        <v>1154</v>
      </c>
      <c r="B60" s="2" t="s">
        <v>1155</v>
      </c>
      <c r="C60" s="2" t="s">
        <v>1066</v>
      </c>
      <c r="D60" s="2" t="s">
        <v>1067</v>
      </c>
      <c r="E60" s="2" t="s">
        <v>219</v>
      </c>
    </row>
    <row r="61" spans="1:5" ht="55.8" thickBot="1" x14ac:dyDescent="0.35">
      <c r="A61" s="2" t="s">
        <v>1156</v>
      </c>
      <c r="B61" s="2" t="s">
        <v>221</v>
      </c>
      <c r="C61" s="2" t="s">
        <v>1157</v>
      </c>
      <c r="D61" s="2" t="s">
        <v>1158</v>
      </c>
      <c r="E61" s="2" t="s">
        <v>1159</v>
      </c>
    </row>
    <row r="62" spans="1:5" ht="55.8" thickBot="1" x14ac:dyDescent="0.35">
      <c r="A62" s="2" t="s">
        <v>1160</v>
      </c>
      <c r="B62" s="2" t="s">
        <v>1161</v>
      </c>
      <c r="C62" s="2" t="s">
        <v>1162</v>
      </c>
      <c r="D62" s="2" t="s">
        <v>1163</v>
      </c>
      <c r="E62" s="2" t="s">
        <v>1164</v>
      </c>
    </row>
    <row r="63" spans="1:5" ht="28.2" thickBot="1" x14ac:dyDescent="0.35">
      <c r="A63" s="2" t="s">
        <v>1165</v>
      </c>
      <c r="B63" s="2">
        <v>35</v>
      </c>
      <c r="C63" s="2">
        <v>53</v>
      </c>
      <c r="D63" s="2">
        <v>305</v>
      </c>
      <c r="E63" s="2">
        <v>8</v>
      </c>
    </row>
    <row r="64" spans="1:5" ht="42" thickBot="1" x14ac:dyDescent="0.35">
      <c r="A64" s="2" t="s">
        <v>1295</v>
      </c>
      <c r="B64" s="2" t="str">
        <f>"$20"</f>
        <v>$20</v>
      </c>
      <c r="C64" s="3">
        <v>15</v>
      </c>
      <c r="D64" s="3">
        <v>30</v>
      </c>
      <c r="E64" s="3">
        <v>12</v>
      </c>
    </row>
    <row r="65" spans="1:5" ht="55.8" thickBot="1" x14ac:dyDescent="0.35">
      <c r="A65" s="2" t="s">
        <v>1166</v>
      </c>
      <c r="B65" s="2" t="s">
        <v>232</v>
      </c>
      <c r="C65" s="2" t="s">
        <v>233</v>
      </c>
      <c r="D65" s="2" t="s">
        <v>234</v>
      </c>
      <c r="E65" s="2" t="s">
        <v>16</v>
      </c>
    </row>
    <row r="66" spans="1:5" ht="42" thickBot="1" x14ac:dyDescent="0.35">
      <c r="A66" s="2" t="s">
        <v>1167</v>
      </c>
      <c r="B66" s="2" t="s">
        <v>236</v>
      </c>
      <c r="C66" s="2" t="s">
        <v>237</v>
      </c>
      <c r="D66" s="2" t="s">
        <v>238</v>
      </c>
      <c r="E66" s="2" t="s">
        <v>239</v>
      </c>
    </row>
    <row r="67" spans="1:5" ht="42" thickBot="1" x14ac:dyDescent="0.35">
      <c r="A67" s="2" t="s">
        <v>1168</v>
      </c>
      <c r="B67" s="2" t="s">
        <v>1169</v>
      </c>
      <c r="C67" s="2" t="s">
        <v>1170</v>
      </c>
      <c r="D67" s="2" t="s">
        <v>1100</v>
      </c>
      <c r="E67" s="2" t="s">
        <v>1097</v>
      </c>
    </row>
    <row r="68" spans="1:5" ht="42" thickBot="1" x14ac:dyDescent="0.35">
      <c r="A68" s="2" t="s">
        <v>1171</v>
      </c>
      <c r="B68" s="2" t="s">
        <v>1061</v>
      </c>
      <c r="C68" s="2" t="s">
        <v>1172</v>
      </c>
      <c r="D68" s="2" t="s">
        <v>1062</v>
      </c>
      <c r="E68" s="2" t="s">
        <v>1140</v>
      </c>
    </row>
    <row r="69" spans="1:5" ht="42" thickBot="1" x14ac:dyDescent="0.35">
      <c r="A69" s="2" t="s">
        <v>1173</v>
      </c>
      <c r="B69" s="2" t="s">
        <v>1174</v>
      </c>
      <c r="C69" s="2" t="s">
        <v>1175</v>
      </c>
      <c r="D69" s="2" t="s">
        <v>1176</v>
      </c>
      <c r="E69" s="2" t="s">
        <v>1177</v>
      </c>
    </row>
    <row r="70" spans="1:5" ht="42" thickBot="1" x14ac:dyDescent="0.35">
      <c r="A70" s="2" t="s">
        <v>1178</v>
      </c>
      <c r="B70" s="2" t="s">
        <v>23</v>
      </c>
      <c r="C70" s="2" t="s">
        <v>45</v>
      </c>
      <c r="D70" s="2" t="s">
        <v>111</v>
      </c>
      <c r="E70" s="2" t="s">
        <v>250</v>
      </c>
    </row>
    <row r="71" spans="1:5" ht="55.8" thickBot="1" x14ac:dyDescent="0.35">
      <c r="A71" s="2" t="s">
        <v>1179</v>
      </c>
      <c r="B71" s="2" t="s">
        <v>1180</v>
      </c>
      <c r="C71" s="2" t="s">
        <v>1181</v>
      </c>
      <c r="D71" s="2" t="s">
        <v>1182</v>
      </c>
      <c r="E71" s="2" t="s">
        <v>1183</v>
      </c>
    </row>
    <row r="72" spans="1:5" ht="55.8" thickBot="1" x14ac:dyDescent="0.35">
      <c r="A72" s="2" t="s">
        <v>1184</v>
      </c>
      <c r="B72" s="2">
        <v>11</v>
      </c>
      <c r="C72" s="2">
        <v>10</v>
      </c>
      <c r="D72" s="2">
        <v>7</v>
      </c>
      <c r="E72" s="2">
        <v>12</v>
      </c>
    </row>
    <row r="73" spans="1:5" ht="42" thickBot="1" x14ac:dyDescent="0.35">
      <c r="A73" s="2" t="s">
        <v>1185</v>
      </c>
      <c r="B73" s="2" t="s">
        <v>1053</v>
      </c>
      <c r="C73" s="2" t="s">
        <v>1052</v>
      </c>
      <c r="D73" s="2" t="s">
        <v>1054</v>
      </c>
      <c r="E73" s="2" t="s">
        <v>1186</v>
      </c>
    </row>
    <row r="74" spans="1:5" ht="15" thickBot="1" x14ac:dyDescent="0.35">
      <c r="A74" s="2" t="s">
        <v>1187</v>
      </c>
      <c r="B74" s="2">
        <v>16</v>
      </c>
      <c r="C74" s="2">
        <v>10</v>
      </c>
      <c r="D74" s="2">
        <v>12</v>
      </c>
      <c r="E74" s="2">
        <v>14</v>
      </c>
    </row>
    <row r="75" spans="1:5" ht="42" thickBot="1" x14ac:dyDescent="0.35">
      <c r="A75" s="2" t="s">
        <v>1188</v>
      </c>
      <c r="B75" s="2" t="s">
        <v>1140</v>
      </c>
      <c r="C75" s="2" t="s">
        <v>1139</v>
      </c>
      <c r="D75" s="2" t="s">
        <v>102</v>
      </c>
      <c r="E75" s="2" t="s">
        <v>1061</v>
      </c>
    </row>
    <row r="76" spans="1:5" ht="28.2" thickBot="1" x14ac:dyDescent="0.35">
      <c r="A76" s="2" t="s">
        <v>1189</v>
      </c>
      <c r="B76" s="2" t="s">
        <v>1190</v>
      </c>
      <c r="C76" s="2" t="s">
        <v>1191</v>
      </c>
      <c r="D76" s="2" t="s">
        <v>1192</v>
      </c>
      <c r="E76" s="2" t="s">
        <v>1193</v>
      </c>
    </row>
    <row r="77" spans="1:5" ht="55.8" thickBot="1" x14ac:dyDescent="0.35">
      <c r="A77" s="2" t="s">
        <v>1194</v>
      </c>
      <c r="B77" s="2" t="s">
        <v>1195</v>
      </c>
      <c r="C77" s="2" t="s">
        <v>1196</v>
      </c>
      <c r="D77" s="2" t="s">
        <v>1197</v>
      </c>
      <c r="E77" s="2" t="s">
        <v>1198</v>
      </c>
    </row>
    <row r="78" spans="1:5" ht="42" thickBot="1" x14ac:dyDescent="0.35">
      <c r="A78" s="2" t="s">
        <v>1199</v>
      </c>
      <c r="B78" s="2" t="s">
        <v>1177</v>
      </c>
      <c r="C78" s="2" t="s">
        <v>987</v>
      </c>
      <c r="D78" s="2" t="s">
        <v>988</v>
      </c>
      <c r="E78" s="2" t="s">
        <v>1200</v>
      </c>
    </row>
    <row r="79" spans="1:5" ht="42" thickBot="1" x14ac:dyDescent="0.35">
      <c r="A79" s="2" t="s">
        <v>1201</v>
      </c>
      <c r="B79" s="2" t="s">
        <v>1202</v>
      </c>
      <c r="C79" s="2" t="s">
        <v>1139</v>
      </c>
      <c r="D79" s="2" t="s">
        <v>374</v>
      </c>
      <c r="E79" s="2" t="s">
        <v>1203</v>
      </c>
    </row>
    <row r="80" spans="1:5" ht="55.8" thickBot="1" x14ac:dyDescent="0.35">
      <c r="A80" s="2" t="s">
        <v>1204</v>
      </c>
      <c r="B80" s="2" t="s">
        <v>1205</v>
      </c>
      <c r="C80" s="2" t="s">
        <v>278</v>
      </c>
      <c r="D80" s="2" t="s">
        <v>1206</v>
      </c>
      <c r="E80" s="2" t="s">
        <v>1207</v>
      </c>
    </row>
    <row r="81" spans="1:5" ht="28.2" thickBot="1" x14ac:dyDescent="0.35">
      <c r="A81" s="2" t="s">
        <v>1208</v>
      </c>
      <c r="B81" s="2" t="s">
        <v>1209</v>
      </c>
      <c r="C81" s="2" t="s">
        <v>1210</v>
      </c>
      <c r="D81" s="2" t="s">
        <v>1211</v>
      </c>
      <c r="E81" s="2" t="s">
        <v>1212</v>
      </c>
    </row>
    <row r="82" spans="1:5" ht="28.2" thickBot="1" x14ac:dyDescent="0.35">
      <c r="A82" s="2" t="s">
        <v>1213</v>
      </c>
      <c r="B82" s="2" t="s">
        <v>1214</v>
      </c>
      <c r="C82" s="2" t="s">
        <v>1215</v>
      </c>
      <c r="D82" s="2" t="s">
        <v>1216</v>
      </c>
      <c r="E82" s="2" t="s">
        <v>1217</v>
      </c>
    </row>
    <row r="83" spans="1:5" ht="42" thickBot="1" x14ac:dyDescent="0.35">
      <c r="A83" s="2" t="s">
        <v>1218</v>
      </c>
      <c r="B83" s="2" t="s">
        <v>1082</v>
      </c>
      <c r="C83" s="2" t="s">
        <v>1081</v>
      </c>
      <c r="D83" s="2" t="s">
        <v>1084</v>
      </c>
      <c r="E83" s="2" t="s">
        <v>1083</v>
      </c>
    </row>
    <row r="84" spans="1:5" ht="15" thickBot="1" x14ac:dyDescent="0.35">
      <c r="A84" s="2" t="s">
        <v>1219</v>
      </c>
      <c r="B84" s="2">
        <v>100</v>
      </c>
      <c r="C84" s="2">
        <v>90</v>
      </c>
      <c r="D84" s="2">
        <v>80</v>
      </c>
      <c r="E84" s="2">
        <v>110</v>
      </c>
    </row>
    <row r="85" spans="1:5" ht="55.8" thickBot="1" x14ac:dyDescent="0.35">
      <c r="A85" s="2" t="s">
        <v>1220</v>
      </c>
      <c r="B85" s="2" t="s">
        <v>1221</v>
      </c>
      <c r="C85" s="2" t="s">
        <v>1222</v>
      </c>
      <c r="D85" s="2" t="s">
        <v>1223</v>
      </c>
      <c r="E85" s="2" t="s">
        <v>1224</v>
      </c>
    </row>
    <row r="86" spans="1:5" ht="42" thickBot="1" x14ac:dyDescent="0.35">
      <c r="A86" s="2" t="s">
        <v>1225</v>
      </c>
      <c r="B86" s="2" t="s">
        <v>1226</v>
      </c>
      <c r="C86" s="2" t="s">
        <v>1227</v>
      </c>
      <c r="D86" s="2" t="s">
        <v>301</v>
      </c>
      <c r="E86" s="2" t="s">
        <v>1228</v>
      </c>
    </row>
    <row r="87" spans="1:5" ht="42" thickBot="1" x14ac:dyDescent="0.35">
      <c r="A87" s="2" t="s">
        <v>1229</v>
      </c>
      <c r="B87" s="2" t="s">
        <v>1230</v>
      </c>
      <c r="C87" s="2" t="s">
        <v>1231</v>
      </c>
      <c r="D87" s="2" t="s">
        <v>1232</v>
      </c>
      <c r="E87" s="2" t="s">
        <v>1233</v>
      </c>
    </row>
    <row r="88" spans="1:5" ht="28.2" thickBot="1" x14ac:dyDescent="0.35">
      <c r="A88" s="2" t="s">
        <v>1234</v>
      </c>
      <c r="B88" s="2" t="s">
        <v>1235</v>
      </c>
      <c r="C88" s="2" t="s">
        <v>1236</v>
      </c>
      <c r="D88" s="2" t="s">
        <v>1237</v>
      </c>
      <c r="E88" s="2" t="s">
        <v>1238</v>
      </c>
    </row>
    <row r="89" spans="1:5" ht="55.8" thickBot="1" x14ac:dyDescent="0.35">
      <c r="A89" s="2" t="s">
        <v>1239</v>
      </c>
      <c r="B89" s="2" t="s">
        <v>1240</v>
      </c>
      <c r="C89" s="2" t="s">
        <v>1241</v>
      </c>
      <c r="D89" s="2" t="s">
        <v>1242</v>
      </c>
      <c r="E89" s="2" t="s">
        <v>1243</v>
      </c>
    </row>
    <row r="90" spans="1:5" ht="28.2" thickBot="1" x14ac:dyDescent="0.35">
      <c r="A90" s="2" t="s">
        <v>1244</v>
      </c>
      <c r="B90" s="2">
        <v>6</v>
      </c>
      <c r="C90" s="2">
        <v>5</v>
      </c>
      <c r="D90" s="2">
        <v>9</v>
      </c>
      <c r="E90" s="2">
        <v>4</v>
      </c>
    </row>
    <row r="91" spans="1:5" ht="42" thickBot="1" x14ac:dyDescent="0.35">
      <c r="A91" s="2" t="s">
        <v>1245</v>
      </c>
      <c r="B91" s="2" t="s">
        <v>1246</v>
      </c>
      <c r="C91" s="2" t="s">
        <v>1247</v>
      </c>
      <c r="D91" s="2" t="s">
        <v>1248</v>
      </c>
      <c r="E91" s="2" t="s">
        <v>1249</v>
      </c>
    </row>
    <row r="92" spans="1:5" ht="55.8" thickBot="1" x14ac:dyDescent="0.35">
      <c r="A92" s="2" t="s">
        <v>1250</v>
      </c>
      <c r="B92" s="2" t="s">
        <v>1251</v>
      </c>
      <c r="C92" s="2" t="s">
        <v>1252</v>
      </c>
      <c r="D92" s="2" t="s">
        <v>1253</v>
      </c>
      <c r="E92" s="2" t="s">
        <v>164</v>
      </c>
    </row>
    <row r="93" spans="1:5" ht="42" thickBot="1" x14ac:dyDescent="0.35">
      <c r="A93" s="2" t="s">
        <v>1254</v>
      </c>
      <c r="B93" s="2" t="s">
        <v>1255</v>
      </c>
      <c r="C93" s="2" t="s">
        <v>1256</v>
      </c>
      <c r="D93" s="2" t="s">
        <v>1257</v>
      </c>
      <c r="E93" s="2" t="s">
        <v>1258</v>
      </c>
    </row>
    <row r="94" spans="1:5" ht="55.8" thickBot="1" x14ac:dyDescent="0.35">
      <c r="A94" s="2" t="s">
        <v>1259</v>
      </c>
      <c r="B94" s="2">
        <v>10</v>
      </c>
      <c r="C94" s="2">
        <v>12</v>
      </c>
      <c r="D94" s="2">
        <v>5</v>
      </c>
      <c r="E94" s="2">
        <v>20</v>
      </c>
    </row>
    <row r="95" spans="1:5" ht="42" thickBot="1" x14ac:dyDescent="0.35">
      <c r="A95" s="2" t="s">
        <v>1260</v>
      </c>
      <c r="B95" s="2" t="s">
        <v>1261</v>
      </c>
      <c r="C95" s="2" t="s">
        <v>1262</v>
      </c>
      <c r="D95" s="2" t="s">
        <v>1263</v>
      </c>
      <c r="E95" s="2" t="s">
        <v>1264</v>
      </c>
    </row>
    <row r="96" spans="1:5" ht="42" thickBot="1" x14ac:dyDescent="0.35">
      <c r="A96" s="2" t="s">
        <v>1265</v>
      </c>
      <c r="B96" s="2" t="s">
        <v>1266</v>
      </c>
      <c r="C96" s="2" t="s">
        <v>1148</v>
      </c>
      <c r="D96" s="2" t="s">
        <v>1267</v>
      </c>
      <c r="E96" s="2" t="s">
        <v>1268</v>
      </c>
    </row>
    <row r="97" spans="1:5" ht="55.8" thickBot="1" x14ac:dyDescent="0.35">
      <c r="A97" s="2" t="s">
        <v>1269</v>
      </c>
      <c r="B97" s="2" t="s">
        <v>1270</v>
      </c>
      <c r="C97" s="2" t="s">
        <v>1271</v>
      </c>
      <c r="D97" s="2" t="s">
        <v>1272</v>
      </c>
      <c r="E97" s="2" t="s">
        <v>1273</v>
      </c>
    </row>
    <row r="98" spans="1:5" ht="28.2" thickBot="1" x14ac:dyDescent="0.35">
      <c r="A98" s="2" t="s">
        <v>1274</v>
      </c>
      <c r="B98" s="2">
        <v>98</v>
      </c>
      <c r="C98" s="2">
        <v>89</v>
      </c>
      <c r="D98" s="2" t="s">
        <v>1114</v>
      </c>
      <c r="E98" s="2">
        <v>90</v>
      </c>
    </row>
    <row r="99" spans="1:5" ht="55.8" thickBot="1" x14ac:dyDescent="0.35">
      <c r="A99" s="2" t="s">
        <v>1275</v>
      </c>
      <c r="B99" s="2" t="s">
        <v>1276</v>
      </c>
      <c r="C99" s="2" t="s">
        <v>1277</v>
      </c>
      <c r="D99" s="2" t="s">
        <v>1278</v>
      </c>
      <c r="E99" s="2" t="s">
        <v>1279</v>
      </c>
    </row>
    <row r="100" spans="1:5" ht="55.8" thickBot="1" x14ac:dyDescent="0.35">
      <c r="A100" s="2" t="s">
        <v>1280</v>
      </c>
      <c r="B100" s="2" t="s">
        <v>1281</v>
      </c>
      <c r="C100" s="2" t="s">
        <v>1282</v>
      </c>
      <c r="D100" s="2" t="s">
        <v>1283</v>
      </c>
      <c r="E100" s="2" t="s">
        <v>1284</v>
      </c>
    </row>
    <row r="101" spans="1:5" ht="42" thickBot="1" x14ac:dyDescent="0.35">
      <c r="A101" s="2" t="s">
        <v>1285</v>
      </c>
      <c r="B101" s="2" t="s">
        <v>1286</v>
      </c>
      <c r="C101" s="2" t="s">
        <v>1287</v>
      </c>
      <c r="D101" s="2" t="s">
        <v>1288</v>
      </c>
      <c r="E101" s="2" t="s">
        <v>1030</v>
      </c>
    </row>
    <row r="102" spans="1:5" ht="28.2" thickBot="1" x14ac:dyDescent="0.35">
      <c r="A102" s="2" t="s">
        <v>1289</v>
      </c>
      <c r="B102" s="2">
        <v>12</v>
      </c>
      <c r="C102" s="2">
        <v>10</v>
      </c>
      <c r="D102" s="2">
        <v>6</v>
      </c>
      <c r="E102" s="2">
        <v>24</v>
      </c>
    </row>
    <row r="103" spans="1:5" ht="55.8" thickBot="1" x14ac:dyDescent="0.35">
      <c r="A103" s="2" t="s">
        <v>1290</v>
      </c>
      <c r="B103" s="2" t="s">
        <v>1291</v>
      </c>
      <c r="C103" s="2" t="s">
        <v>1292</v>
      </c>
      <c r="D103" s="2" t="s">
        <v>1293</v>
      </c>
      <c r="E103" s="2" t="s">
        <v>1294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opLeftCell="A39" workbookViewId="0">
      <selection activeCell="B39" sqref="B39"/>
    </sheetView>
  </sheetViews>
  <sheetFormatPr baseColWidth="10" defaultRowHeight="14.4" x14ac:dyDescent="0.3"/>
  <cols>
    <col min="1" max="1" width="21.109375" customWidth="1"/>
    <col min="2" max="2" width="26.88671875" customWidth="1"/>
    <col min="3" max="3" width="22.109375" customWidth="1"/>
    <col min="4" max="4" width="17.33203125" customWidth="1"/>
    <col min="5" max="5" width="22.4414062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thickBot="1" x14ac:dyDescent="0.35">
      <c r="A2" s="2" t="s">
        <v>376</v>
      </c>
      <c r="B2" s="2">
        <v>32</v>
      </c>
      <c r="C2" s="2">
        <v>36</v>
      </c>
      <c r="D2" s="2">
        <v>28</v>
      </c>
      <c r="E2" s="2">
        <v>40</v>
      </c>
    </row>
    <row r="3" spans="1:5" ht="55.8" thickBot="1" x14ac:dyDescent="0.35">
      <c r="A3" s="2" t="s">
        <v>550</v>
      </c>
      <c r="B3" s="2" t="s">
        <v>377</v>
      </c>
      <c r="C3" s="2" t="s">
        <v>378</v>
      </c>
      <c r="D3" s="2" t="s">
        <v>379</v>
      </c>
      <c r="E3" s="2" t="s">
        <v>104</v>
      </c>
    </row>
    <row r="4" spans="1:5" ht="28.2" thickBot="1" x14ac:dyDescent="0.35">
      <c r="A4" s="2" t="s">
        <v>380</v>
      </c>
      <c r="B4" s="2" t="s">
        <v>381</v>
      </c>
      <c r="C4" s="2" t="s">
        <v>382</v>
      </c>
      <c r="D4" s="2" t="s">
        <v>383</v>
      </c>
      <c r="E4" s="2" t="s">
        <v>384</v>
      </c>
    </row>
    <row r="5" spans="1:5" ht="69.599999999999994" thickBot="1" x14ac:dyDescent="0.35">
      <c r="A5" s="2" t="s">
        <v>385</v>
      </c>
      <c r="B5" s="2" t="s">
        <v>247</v>
      </c>
      <c r="C5" s="2" t="s">
        <v>245</v>
      </c>
      <c r="D5" s="2" t="s">
        <v>246</v>
      </c>
      <c r="E5" s="2" t="s">
        <v>29</v>
      </c>
    </row>
    <row r="6" spans="1:5" ht="69.599999999999994" thickBot="1" x14ac:dyDescent="0.35">
      <c r="A6" s="2" t="s">
        <v>386</v>
      </c>
      <c r="B6" s="2" t="s">
        <v>17</v>
      </c>
      <c r="C6" s="2" t="s">
        <v>387</v>
      </c>
      <c r="D6" s="2" t="s">
        <v>388</v>
      </c>
      <c r="E6" s="2" t="s">
        <v>389</v>
      </c>
    </row>
    <row r="7" spans="1:5" ht="28.2" thickBot="1" x14ac:dyDescent="0.35">
      <c r="A7" s="2" t="s">
        <v>390</v>
      </c>
      <c r="B7" s="2" t="s">
        <v>391</v>
      </c>
      <c r="C7" s="2" t="s">
        <v>148</v>
      </c>
      <c r="D7" s="2" t="s">
        <v>392</v>
      </c>
      <c r="E7" s="2" t="s">
        <v>393</v>
      </c>
    </row>
    <row r="8" spans="1:5" ht="42" thickBot="1" x14ac:dyDescent="0.35">
      <c r="A8" s="2" t="s">
        <v>394</v>
      </c>
      <c r="B8" s="2" t="s">
        <v>395</v>
      </c>
      <c r="C8" s="2" t="s">
        <v>396</v>
      </c>
      <c r="D8" s="2" t="s">
        <v>397</v>
      </c>
      <c r="E8" s="2" t="s">
        <v>398</v>
      </c>
    </row>
    <row r="9" spans="1:5" ht="83.4" thickBot="1" x14ac:dyDescent="0.35">
      <c r="A9" s="2" t="s">
        <v>399</v>
      </c>
      <c r="B9" s="2" t="s">
        <v>226</v>
      </c>
      <c r="C9" s="2" t="s">
        <v>229</v>
      </c>
      <c r="D9" s="2" t="s">
        <v>400</v>
      </c>
      <c r="E9" s="2" t="s">
        <v>227</v>
      </c>
    </row>
    <row r="10" spans="1:5" ht="42" thickBot="1" x14ac:dyDescent="0.35">
      <c r="A10" s="2" t="s">
        <v>401</v>
      </c>
      <c r="B10" s="2">
        <v>400</v>
      </c>
      <c r="C10" s="2">
        <v>300</v>
      </c>
      <c r="D10" s="2">
        <v>350</v>
      </c>
      <c r="E10" s="2">
        <v>500</v>
      </c>
    </row>
    <row r="11" spans="1:5" ht="55.8" thickBot="1" x14ac:dyDescent="0.35">
      <c r="A11" s="2" t="s">
        <v>402</v>
      </c>
      <c r="B11" s="2" t="s">
        <v>403</v>
      </c>
      <c r="C11" s="2" t="s">
        <v>404</v>
      </c>
      <c r="D11" s="2" t="s">
        <v>405</v>
      </c>
      <c r="E11" s="2" t="s">
        <v>406</v>
      </c>
    </row>
    <row r="12" spans="1:5" ht="83.4" thickBot="1" x14ac:dyDescent="0.35">
      <c r="A12" s="2" t="s">
        <v>407</v>
      </c>
      <c r="B12" s="2" t="s">
        <v>104</v>
      </c>
      <c r="C12" s="2" t="s">
        <v>105</v>
      </c>
      <c r="D12" s="2" t="s">
        <v>243</v>
      </c>
      <c r="E12" s="2" t="s">
        <v>102</v>
      </c>
    </row>
    <row r="13" spans="1:5" ht="42" thickBot="1" x14ac:dyDescent="0.35">
      <c r="A13" s="2" t="s">
        <v>408</v>
      </c>
      <c r="B13" s="2">
        <v>4</v>
      </c>
      <c r="C13" s="2">
        <v>3</v>
      </c>
      <c r="D13" s="2">
        <v>5</v>
      </c>
      <c r="E13" s="2">
        <v>2</v>
      </c>
    </row>
    <row r="14" spans="1:5" ht="69.599999999999994" thickBot="1" x14ac:dyDescent="0.35">
      <c r="A14" s="2" t="s">
        <v>409</v>
      </c>
      <c r="B14" s="2" t="s">
        <v>410</v>
      </c>
      <c r="C14" s="2" t="s">
        <v>411</v>
      </c>
      <c r="D14" s="2" t="s">
        <v>412</v>
      </c>
      <c r="E14" s="2" t="s">
        <v>413</v>
      </c>
    </row>
    <row r="15" spans="1:5" ht="55.8" thickBot="1" x14ac:dyDescent="0.35">
      <c r="A15" s="2" t="s">
        <v>414</v>
      </c>
      <c r="B15" s="2" t="s">
        <v>415</v>
      </c>
      <c r="C15" s="2" t="s">
        <v>102</v>
      </c>
      <c r="D15" s="2" t="s">
        <v>104</v>
      </c>
      <c r="E15" s="2" t="s">
        <v>243</v>
      </c>
    </row>
    <row r="16" spans="1:5" ht="69.599999999999994" thickBot="1" x14ac:dyDescent="0.35">
      <c r="A16" s="2" t="s">
        <v>416</v>
      </c>
      <c r="B16" s="2">
        <v>15</v>
      </c>
      <c r="C16" s="2">
        <v>12</v>
      </c>
      <c r="D16" s="2">
        <v>18</v>
      </c>
      <c r="E16" s="2">
        <v>20</v>
      </c>
    </row>
    <row r="17" spans="1:5" ht="55.8" thickBot="1" x14ac:dyDescent="0.35">
      <c r="A17" s="2" t="s">
        <v>417</v>
      </c>
      <c r="B17" s="2" t="s">
        <v>418</v>
      </c>
      <c r="C17" s="2" t="s">
        <v>419</v>
      </c>
      <c r="D17" s="2" t="s">
        <v>420</v>
      </c>
      <c r="E17" s="2" t="s">
        <v>421</v>
      </c>
    </row>
    <row r="18" spans="1:5" ht="55.8" thickBot="1" x14ac:dyDescent="0.35">
      <c r="A18" s="2" t="s">
        <v>422</v>
      </c>
      <c r="B18" s="2" t="s">
        <v>423</v>
      </c>
      <c r="C18" s="2" t="s">
        <v>424</v>
      </c>
      <c r="D18" s="2" t="s">
        <v>425</v>
      </c>
      <c r="E18" s="2" t="s">
        <v>426</v>
      </c>
    </row>
    <row r="19" spans="1:5" ht="42" thickBot="1" x14ac:dyDescent="0.35">
      <c r="A19" s="2" t="s">
        <v>427</v>
      </c>
      <c r="B19" s="2" t="s">
        <v>428</v>
      </c>
      <c r="C19" s="2" t="s">
        <v>429</v>
      </c>
      <c r="D19" s="2" t="s">
        <v>430</v>
      </c>
      <c r="E19" s="2" t="s">
        <v>431</v>
      </c>
    </row>
    <row r="20" spans="1:5" ht="83.4" thickBot="1" x14ac:dyDescent="0.35">
      <c r="A20" s="2" t="s">
        <v>432</v>
      </c>
      <c r="B20" s="2" t="s">
        <v>233</v>
      </c>
      <c r="C20" s="2" t="s">
        <v>16</v>
      </c>
      <c r="D20" s="2" t="s">
        <v>433</v>
      </c>
      <c r="E20" s="2" t="s">
        <v>434</v>
      </c>
    </row>
    <row r="21" spans="1:5" ht="55.8" thickBot="1" x14ac:dyDescent="0.35">
      <c r="A21" s="2" t="s">
        <v>435</v>
      </c>
      <c r="B21" s="2" t="s">
        <v>33</v>
      </c>
      <c r="C21" s="2" t="s">
        <v>84</v>
      </c>
      <c r="D21" s="2" t="s">
        <v>436</v>
      </c>
      <c r="E21" s="2" t="s">
        <v>437</v>
      </c>
    </row>
    <row r="22" spans="1:5" ht="28.2" thickBot="1" x14ac:dyDescent="0.35">
      <c r="A22" s="2" t="s">
        <v>438</v>
      </c>
      <c r="B22" s="2" t="s">
        <v>439</v>
      </c>
      <c r="C22" s="2" t="s">
        <v>440</v>
      </c>
      <c r="D22" s="2" t="s">
        <v>441</v>
      </c>
      <c r="E22" s="2" t="s">
        <v>442</v>
      </c>
    </row>
    <row r="23" spans="1:5" ht="69.599999999999994" thickBot="1" x14ac:dyDescent="0.35">
      <c r="A23" s="2" t="s">
        <v>443</v>
      </c>
      <c r="B23" s="2" t="s">
        <v>551</v>
      </c>
      <c r="C23" s="2" t="s">
        <v>444</v>
      </c>
      <c r="D23" s="2" t="s">
        <v>445</v>
      </c>
      <c r="E23" s="2" t="s">
        <v>446</v>
      </c>
    </row>
    <row r="24" spans="1:5" ht="55.8" thickBot="1" x14ac:dyDescent="0.35">
      <c r="A24" s="2" t="s">
        <v>447</v>
      </c>
      <c r="B24" s="2" t="s">
        <v>109</v>
      </c>
      <c r="C24" s="2" t="s">
        <v>219</v>
      </c>
      <c r="D24" s="2" t="s">
        <v>218</v>
      </c>
      <c r="E24" s="2" t="s">
        <v>108</v>
      </c>
    </row>
    <row r="25" spans="1:5" ht="55.8" thickBot="1" x14ac:dyDescent="0.35">
      <c r="A25" s="2" t="s">
        <v>448</v>
      </c>
      <c r="B25" s="2" t="s">
        <v>449</v>
      </c>
      <c r="C25" s="2" t="s">
        <v>282</v>
      </c>
      <c r="D25" s="2" t="s">
        <v>450</v>
      </c>
      <c r="E25" s="2" t="s">
        <v>451</v>
      </c>
    </row>
    <row r="26" spans="1:5" ht="55.8" thickBot="1" x14ac:dyDescent="0.35">
      <c r="A26" s="2" t="s">
        <v>452</v>
      </c>
      <c r="B26" s="2" t="s">
        <v>453</v>
      </c>
      <c r="C26" s="2" t="s">
        <v>454</v>
      </c>
      <c r="D26" s="2" t="s">
        <v>455</v>
      </c>
      <c r="E26" s="2" t="s">
        <v>456</v>
      </c>
    </row>
    <row r="27" spans="1:5" ht="69.599999999999994" thickBot="1" x14ac:dyDescent="0.35">
      <c r="A27" s="2" t="s">
        <v>457</v>
      </c>
      <c r="B27" s="2" t="s">
        <v>458</v>
      </c>
      <c r="C27" s="2" t="s">
        <v>459</v>
      </c>
      <c r="D27" s="2" t="s">
        <v>460</v>
      </c>
      <c r="E27" s="2" t="s">
        <v>461</v>
      </c>
    </row>
    <row r="28" spans="1:5" ht="28.2" thickBot="1" x14ac:dyDescent="0.35">
      <c r="A28" s="2" t="s">
        <v>462</v>
      </c>
      <c r="B28" s="2">
        <v>75</v>
      </c>
      <c r="C28" s="2">
        <v>50</v>
      </c>
      <c r="D28" s="2">
        <v>60</v>
      </c>
      <c r="E28" s="2">
        <v>85</v>
      </c>
    </row>
    <row r="29" spans="1:5" ht="69.599999999999994" thickBot="1" x14ac:dyDescent="0.35">
      <c r="A29" s="2" t="s">
        <v>463</v>
      </c>
      <c r="B29" s="2" t="s">
        <v>243</v>
      </c>
      <c r="C29" s="2" t="s">
        <v>103</v>
      </c>
      <c r="D29" s="2" t="s">
        <v>204</v>
      </c>
      <c r="E29" s="2" t="s">
        <v>105</v>
      </c>
    </row>
    <row r="30" spans="1:5" ht="42" thickBot="1" x14ac:dyDescent="0.35">
      <c r="A30" s="2" t="s">
        <v>464</v>
      </c>
      <c r="B30" s="2" t="s">
        <v>465</v>
      </c>
      <c r="C30" s="2" t="s">
        <v>466</v>
      </c>
      <c r="D30" s="2" t="s">
        <v>467</v>
      </c>
      <c r="E30" s="2" t="s">
        <v>468</v>
      </c>
    </row>
    <row r="31" spans="1:5" ht="69.599999999999994" thickBot="1" x14ac:dyDescent="0.35">
      <c r="A31" s="2" t="s">
        <v>469</v>
      </c>
      <c r="B31" s="2" t="s">
        <v>111</v>
      </c>
      <c r="C31" s="2" t="s">
        <v>470</v>
      </c>
      <c r="D31" s="2" t="s">
        <v>114</v>
      </c>
      <c r="E31" s="2" t="s">
        <v>113</v>
      </c>
    </row>
    <row r="32" spans="1:5" ht="69.599999999999994" thickBot="1" x14ac:dyDescent="0.35">
      <c r="A32" s="2" t="s">
        <v>471</v>
      </c>
      <c r="B32" s="2" t="s">
        <v>552</v>
      </c>
      <c r="C32" s="2" t="s">
        <v>472</v>
      </c>
      <c r="D32" s="2" t="s">
        <v>473</v>
      </c>
      <c r="E32" s="2" t="s">
        <v>474</v>
      </c>
    </row>
    <row r="33" spans="1:5" ht="55.8" thickBot="1" x14ac:dyDescent="0.35">
      <c r="A33" s="2" t="s">
        <v>475</v>
      </c>
      <c r="B33" s="2" t="s">
        <v>476</v>
      </c>
      <c r="C33" s="2" t="s">
        <v>477</v>
      </c>
      <c r="D33" s="2" t="s">
        <v>478</v>
      </c>
      <c r="E33" s="2" t="s">
        <v>479</v>
      </c>
    </row>
    <row r="34" spans="1:5" ht="55.8" thickBot="1" x14ac:dyDescent="0.35">
      <c r="A34" s="2" t="s">
        <v>480</v>
      </c>
      <c r="B34" s="2">
        <v>65</v>
      </c>
      <c r="C34" s="2">
        <v>75</v>
      </c>
      <c r="D34" s="2">
        <v>55</v>
      </c>
      <c r="E34" s="2">
        <v>60</v>
      </c>
    </row>
    <row r="35" spans="1:5" ht="69.599999999999994" thickBot="1" x14ac:dyDescent="0.35">
      <c r="A35" s="2" t="s">
        <v>481</v>
      </c>
      <c r="B35" s="2" t="s">
        <v>482</v>
      </c>
      <c r="C35" s="2" t="s">
        <v>483</v>
      </c>
      <c r="D35" s="2" t="s">
        <v>484</v>
      </c>
      <c r="E35" s="2" t="s">
        <v>485</v>
      </c>
    </row>
    <row r="36" spans="1:5" ht="55.8" thickBot="1" x14ac:dyDescent="0.35">
      <c r="A36" s="2" t="s">
        <v>486</v>
      </c>
      <c r="B36" s="2" t="s">
        <v>487</v>
      </c>
      <c r="C36" s="2" t="s">
        <v>488</v>
      </c>
      <c r="D36" s="2" t="s">
        <v>489</v>
      </c>
      <c r="E36" s="2" t="s">
        <v>490</v>
      </c>
    </row>
    <row r="37" spans="1:5" ht="42" thickBot="1" x14ac:dyDescent="0.35">
      <c r="A37" s="2" t="s">
        <v>491</v>
      </c>
      <c r="B37" s="2">
        <v>4</v>
      </c>
      <c r="C37" s="2">
        <v>3</v>
      </c>
      <c r="D37" s="2">
        <v>6</v>
      </c>
      <c r="E37" s="2">
        <v>5</v>
      </c>
    </row>
    <row r="38" spans="1:5" ht="55.8" thickBot="1" x14ac:dyDescent="0.35">
      <c r="A38" s="2" t="s">
        <v>492</v>
      </c>
      <c r="B38" s="2" t="s">
        <v>493</v>
      </c>
      <c r="C38" s="2" t="s">
        <v>494</v>
      </c>
      <c r="D38" s="2" t="s">
        <v>495</v>
      </c>
      <c r="E38" s="2" t="s">
        <v>426</v>
      </c>
    </row>
    <row r="39" spans="1:5" ht="69.599999999999994" thickBot="1" x14ac:dyDescent="0.35">
      <c r="A39" s="2" t="s">
        <v>496</v>
      </c>
      <c r="B39" s="2" t="s">
        <v>497</v>
      </c>
      <c r="C39" s="2" t="s">
        <v>498</v>
      </c>
      <c r="D39" s="2" t="s">
        <v>499</v>
      </c>
      <c r="E39" s="2" t="s">
        <v>500</v>
      </c>
    </row>
    <row r="40" spans="1:5" ht="69.599999999999994" thickBot="1" x14ac:dyDescent="0.35">
      <c r="A40" s="2" t="s">
        <v>501</v>
      </c>
      <c r="B40" s="2" t="s">
        <v>553</v>
      </c>
      <c r="C40" s="2" t="s">
        <v>502</v>
      </c>
      <c r="D40" s="2" t="s">
        <v>503</v>
      </c>
      <c r="E40" s="2" t="s">
        <v>504</v>
      </c>
    </row>
    <row r="41" spans="1:5" ht="42" thickBot="1" x14ac:dyDescent="0.35">
      <c r="A41" s="2" t="s">
        <v>505</v>
      </c>
      <c r="B41" s="2" t="s">
        <v>506</v>
      </c>
      <c r="C41" s="2" t="s">
        <v>507</v>
      </c>
      <c r="D41" s="2" t="s">
        <v>508</v>
      </c>
      <c r="E41" s="2" t="s">
        <v>509</v>
      </c>
    </row>
    <row r="42" spans="1:5" ht="55.8" thickBot="1" x14ac:dyDescent="0.35">
      <c r="A42" s="2" t="s">
        <v>510</v>
      </c>
      <c r="B42" s="2" t="s">
        <v>511</v>
      </c>
      <c r="C42" s="2" t="s">
        <v>512</v>
      </c>
      <c r="D42" s="2" t="s">
        <v>513</v>
      </c>
      <c r="E42" s="2" t="s">
        <v>514</v>
      </c>
    </row>
    <row r="43" spans="1:5" ht="55.8" thickBot="1" x14ac:dyDescent="0.35">
      <c r="A43" s="2" t="s">
        <v>515</v>
      </c>
      <c r="B43" s="2" t="s">
        <v>19</v>
      </c>
      <c r="C43" s="2" t="s">
        <v>516</v>
      </c>
      <c r="D43" s="2" t="s">
        <v>517</v>
      </c>
      <c r="E43" s="2" t="s">
        <v>518</v>
      </c>
    </row>
    <row r="44" spans="1:5" ht="69.599999999999994" thickBot="1" x14ac:dyDescent="0.35">
      <c r="A44" s="2" t="s">
        <v>519</v>
      </c>
      <c r="B44" s="2" t="s">
        <v>520</v>
      </c>
      <c r="C44" s="2" t="s">
        <v>521</v>
      </c>
      <c r="D44" s="2" t="s">
        <v>522</v>
      </c>
      <c r="E44" s="2" t="s">
        <v>523</v>
      </c>
    </row>
    <row r="45" spans="1:5" ht="42" thickBot="1" x14ac:dyDescent="0.35">
      <c r="A45" s="2" t="s">
        <v>524</v>
      </c>
      <c r="B45" s="2" t="s">
        <v>525</v>
      </c>
      <c r="C45" s="2" t="s">
        <v>526</v>
      </c>
      <c r="D45" s="2" t="s">
        <v>527</v>
      </c>
      <c r="E45" s="2" t="s">
        <v>528</v>
      </c>
    </row>
    <row r="46" spans="1:5" ht="97.2" thickBot="1" x14ac:dyDescent="0.35">
      <c r="A46" s="2" t="s">
        <v>529</v>
      </c>
      <c r="B46" s="2" t="s">
        <v>530</v>
      </c>
      <c r="C46" s="2" t="s">
        <v>531</v>
      </c>
      <c r="D46" s="2" t="s">
        <v>532</v>
      </c>
      <c r="E46" s="2" t="s">
        <v>533</v>
      </c>
    </row>
    <row r="47" spans="1:5" ht="28.2" thickBot="1" x14ac:dyDescent="0.35">
      <c r="A47" s="2" t="s">
        <v>534</v>
      </c>
      <c r="B47" s="2">
        <v>12</v>
      </c>
      <c r="C47" s="2">
        <v>10</v>
      </c>
      <c r="D47" s="2">
        <v>6</v>
      </c>
      <c r="E47" s="2">
        <v>24</v>
      </c>
    </row>
    <row r="48" spans="1:5" ht="83.4" thickBot="1" x14ac:dyDescent="0.35">
      <c r="A48" s="2" t="s">
        <v>535</v>
      </c>
      <c r="B48" s="2" t="s">
        <v>536</v>
      </c>
      <c r="C48" s="2" t="s">
        <v>537</v>
      </c>
      <c r="D48" s="2" t="s">
        <v>538</v>
      </c>
      <c r="E48" s="2" t="s">
        <v>539</v>
      </c>
    </row>
    <row r="49" spans="1:5" ht="55.8" thickBot="1" x14ac:dyDescent="0.35">
      <c r="A49" s="2" t="s">
        <v>540</v>
      </c>
      <c r="B49" s="2" t="s">
        <v>7</v>
      </c>
      <c r="C49" s="2" t="s">
        <v>32</v>
      </c>
      <c r="D49" s="2" t="s">
        <v>541</v>
      </c>
      <c r="E49" s="2" t="s">
        <v>177</v>
      </c>
    </row>
    <row r="50" spans="1:5" ht="69.599999999999994" thickBot="1" x14ac:dyDescent="0.35">
      <c r="A50" s="2" t="s">
        <v>542</v>
      </c>
      <c r="B50" s="2" t="s">
        <v>543</v>
      </c>
      <c r="C50" s="2" t="s">
        <v>544</v>
      </c>
      <c r="D50" s="2" t="s">
        <v>545</v>
      </c>
      <c r="E50" s="2" t="s">
        <v>461</v>
      </c>
    </row>
    <row r="51" spans="1:5" ht="69.599999999999994" thickBot="1" x14ac:dyDescent="0.35">
      <c r="A51" s="2" t="s">
        <v>546</v>
      </c>
      <c r="B51" s="2" t="s">
        <v>547</v>
      </c>
      <c r="C51" s="2" t="s">
        <v>228</v>
      </c>
      <c r="D51" s="2" t="s">
        <v>548</v>
      </c>
      <c r="E51" s="2" t="s">
        <v>549</v>
      </c>
    </row>
    <row r="52" spans="1:5" ht="15" thickBot="1" x14ac:dyDescent="0.35"/>
    <row r="53" spans="1:5" ht="28.2" thickBot="1" x14ac:dyDescent="0.35">
      <c r="A53" s="1" t="s">
        <v>1132</v>
      </c>
      <c r="B53" s="1" t="s">
        <v>1133</v>
      </c>
      <c r="C53" s="1" t="s">
        <v>1134</v>
      </c>
      <c r="D53" s="1" t="s">
        <v>1135</v>
      </c>
      <c r="E53" s="1" t="s">
        <v>1136</v>
      </c>
    </row>
    <row r="54" spans="1:5" ht="28.2" thickBot="1" x14ac:dyDescent="0.35">
      <c r="A54" s="2" t="s">
        <v>1296</v>
      </c>
      <c r="B54" s="2">
        <v>32</v>
      </c>
      <c r="C54" s="2">
        <v>36</v>
      </c>
      <c r="D54" s="2">
        <v>28</v>
      </c>
      <c r="E54" s="2">
        <v>40</v>
      </c>
    </row>
    <row r="55" spans="1:5" ht="69.599999999999994" thickBot="1" x14ac:dyDescent="0.35">
      <c r="A55" s="2" t="s">
        <v>1297</v>
      </c>
      <c r="B55" s="2" t="s">
        <v>1298</v>
      </c>
      <c r="C55" s="2" t="s">
        <v>1299</v>
      </c>
      <c r="D55" s="2" t="s">
        <v>1300</v>
      </c>
      <c r="E55" s="2" t="s">
        <v>1139</v>
      </c>
    </row>
    <row r="56" spans="1:5" ht="42" thickBot="1" x14ac:dyDescent="0.35">
      <c r="A56" s="2" t="s">
        <v>1301</v>
      </c>
      <c r="B56" s="2" t="s">
        <v>1302</v>
      </c>
      <c r="C56" s="2" t="s">
        <v>1303</v>
      </c>
      <c r="D56" s="2" t="s">
        <v>1304</v>
      </c>
      <c r="E56" s="2" t="s">
        <v>1305</v>
      </c>
    </row>
    <row r="57" spans="1:5" ht="55.8" thickBot="1" x14ac:dyDescent="0.35">
      <c r="A57" s="2" t="s">
        <v>1306</v>
      </c>
      <c r="B57" s="2" t="s">
        <v>1176</v>
      </c>
      <c r="C57" s="2" t="s">
        <v>1174</v>
      </c>
      <c r="D57" s="2" t="s">
        <v>1175</v>
      </c>
      <c r="E57" s="2" t="s">
        <v>988</v>
      </c>
    </row>
    <row r="58" spans="1:5" ht="55.8" thickBot="1" x14ac:dyDescent="0.35">
      <c r="A58" s="2" t="s">
        <v>1307</v>
      </c>
      <c r="B58" s="2" t="s">
        <v>17</v>
      </c>
      <c r="C58" s="2" t="s">
        <v>387</v>
      </c>
      <c r="D58" s="2" t="s">
        <v>388</v>
      </c>
      <c r="E58" s="2" t="s">
        <v>389</v>
      </c>
    </row>
    <row r="59" spans="1:5" ht="28.2" thickBot="1" x14ac:dyDescent="0.35">
      <c r="A59" s="2" t="s">
        <v>1308</v>
      </c>
      <c r="B59" s="2" t="s">
        <v>1309</v>
      </c>
      <c r="C59" s="2" t="s">
        <v>1095</v>
      </c>
      <c r="D59" s="2" t="s">
        <v>1310</v>
      </c>
      <c r="E59" s="2" t="s">
        <v>1311</v>
      </c>
    </row>
    <row r="60" spans="1:5" ht="42" thickBot="1" x14ac:dyDescent="0.35">
      <c r="A60" s="2" t="s">
        <v>1312</v>
      </c>
      <c r="B60" s="2" t="s">
        <v>1313</v>
      </c>
      <c r="C60" s="2" t="s">
        <v>1314</v>
      </c>
      <c r="D60" s="2" t="s">
        <v>1315</v>
      </c>
      <c r="E60" s="2" t="s">
        <v>1316</v>
      </c>
    </row>
    <row r="61" spans="1:5" ht="69.599999999999994" thickBot="1" x14ac:dyDescent="0.35">
      <c r="A61" s="2" t="s">
        <v>1317</v>
      </c>
      <c r="B61" s="2" t="s">
        <v>1161</v>
      </c>
      <c r="C61" s="2" t="s">
        <v>1164</v>
      </c>
      <c r="D61" s="2" t="s">
        <v>1318</v>
      </c>
      <c r="E61" s="2" t="s">
        <v>1162</v>
      </c>
    </row>
    <row r="62" spans="1:5" ht="42" thickBot="1" x14ac:dyDescent="0.35">
      <c r="A62" s="2" t="s">
        <v>1319</v>
      </c>
      <c r="B62" s="2">
        <v>400</v>
      </c>
      <c r="C62" s="2">
        <v>300</v>
      </c>
      <c r="D62" s="2">
        <v>350</v>
      </c>
      <c r="E62" s="2">
        <v>500</v>
      </c>
    </row>
    <row r="63" spans="1:5" ht="55.8" thickBot="1" x14ac:dyDescent="0.35">
      <c r="A63" s="2" t="s">
        <v>1320</v>
      </c>
      <c r="B63" s="2" t="s">
        <v>1321</v>
      </c>
      <c r="C63" s="2" t="s">
        <v>1322</v>
      </c>
      <c r="D63" s="2" t="s">
        <v>1323</v>
      </c>
      <c r="E63" s="2" t="s">
        <v>406</v>
      </c>
    </row>
    <row r="64" spans="1:5" ht="83.4" thickBot="1" x14ac:dyDescent="0.35">
      <c r="A64" s="2" t="s">
        <v>1324</v>
      </c>
      <c r="B64" s="2" t="s">
        <v>1139</v>
      </c>
      <c r="C64" s="2" t="s">
        <v>1062</v>
      </c>
      <c r="D64" s="2" t="s">
        <v>1172</v>
      </c>
      <c r="E64" s="2" t="s">
        <v>102</v>
      </c>
    </row>
    <row r="65" spans="1:5" ht="42" thickBot="1" x14ac:dyDescent="0.35">
      <c r="A65" s="2" t="s">
        <v>1325</v>
      </c>
      <c r="B65" s="2">
        <v>4</v>
      </c>
      <c r="C65" s="2">
        <v>3</v>
      </c>
      <c r="D65" s="2">
        <v>5</v>
      </c>
      <c r="E65" s="2">
        <v>2</v>
      </c>
    </row>
    <row r="66" spans="1:5" ht="83.4" thickBot="1" x14ac:dyDescent="0.35">
      <c r="A66" s="2" t="s">
        <v>1326</v>
      </c>
      <c r="B66" s="2" t="s">
        <v>1327</v>
      </c>
      <c r="C66" s="2" t="s">
        <v>1328</v>
      </c>
      <c r="D66" s="2" t="s">
        <v>1329</v>
      </c>
      <c r="E66" s="2" t="s">
        <v>1330</v>
      </c>
    </row>
    <row r="67" spans="1:5" ht="69.599999999999994" thickBot="1" x14ac:dyDescent="0.35">
      <c r="A67" s="2" t="s">
        <v>1331</v>
      </c>
      <c r="B67" s="2" t="s">
        <v>415</v>
      </c>
      <c r="C67" s="2" t="s">
        <v>102</v>
      </c>
      <c r="D67" s="2" t="s">
        <v>1139</v>
      </c>
      <c r="E67" s="2" t="s">
        <v>1172</v>
      </c>
    </row>
    <row r="68" spans="1:5" ht="69.599999999999994" thickBot="1" x14ac:dyDescent="0.35">
      <c r="A68" s="2" t="s">
        <v>1332</v>
      </c>
      <c r="B68" s="2">
        <v>15</v>
      </c>
      <c r="C68" s="2">
        <v>12</v>
      </c>
      <c r="D68" s="2">
        <v>18</v>
      </c>
      <c r="E68" s="2">
        <v>20</v>
      </c>
    </row>
    <row r="69" spans="1:5" ht="42" thickBot="1" x14ac:dyDescent="0.35">
      <c r="A69" s="2" t="s">
        <v>1333</v>
      </c>
      <c r="B69" s="2" t="s">
        <v>1334</v>
      </c>
      <c r="C69" s="2" t="s">
        <v>1335</v>
      </c>
      <c r="D69" s="2" t="s">
        <v>420</v>
      </c>
      <c r="E69" s="2" t="s">
        <v>421</v>
      </c>
    </row>
    <row r="70" spans="1:5" ht="55.8" thickBot="1" x14ac:dyDescent="0.35">
      <c r="A70" s="2" t="s">
        <v>1336</v>
      </c>
      <c r="B70" s="2" t="s">
        <v>423</v>
      </c>
      <c r="C70" s="2" t="s">
        <v>424</v>
      </c>
      <c r="D70" s="2" t="s">
        <v>425</v>
      </c>
      <c r="E70" s="2" t="s">
        <v>426</v>
      </c>
    </row>
    <row r="71" spans="1:5" ht="42" thickBot="1" x14ac:dyDescent="0.35">
      <c r="A71" s="2" t="s">
        <v>1337</v>
      </c>
      <c r="B71" s="2" t="s">
        <v>428</v>
      </c>
      <c r="C71" s="2" t="s">
        <v>429</v>
      </c>
      <c r="D71" s="2" t="s">
        <v>430</v>
      </c>
      <c r="E71" s="2" t="s">
        <v>431</v>
      </c>
    </row>
    <row r="72" spans="1:5" ht="69.599999999999994" thickBot="1" x14ac:dyDescent="0.35">
      <c r="A72" s="2" t="s">
        <v>1338</v>
      </c>
      <c r="B72" s="2" t="s">
        <v>233</v>
      </c>
      <c r="C72" s="2" t="s">
        <v>16</v>
      </c>
      <c r="D72" s="2" t="s">
        <v>433</v>
      </c>
      <c r="E72" s="2" t="s">
        <v>434</v>
      </c>
    </row>
    <row r="73" spans="1:5" ht="83.4" thickBot="1" x14ac:dyDescent="0.35">
      <c r="A73" s="2" t="s">
        <v>1339</v>
      </c>
      <c r="B73" s="2" t="s">
        <v>1340</v>
      </c>
      <c r="C73" s="2" t="s">
        <v>1341</v>
      </c>
      <c r="D73" s="2" t="s">
        <v>1342</v>
      </c>
      <c r="E73" s="2" t="s">
        <v>1343</v>
      </c>
    </row>
    <row r="74" spans="1:5" ht="28.2" thickBot="1" x14ac:dyDescent="0.35">
      <c r="A74" s="2" t="s">
        <v>1344</v>
      </c>
      <c r="B74" s="2" t="s">
        <v>1345</v>
      </c>
      <c r="C74" s="2" t="s">
        <v>1346</v>
      </c>
      <c r="D74" s="2" t="s">
        <v>1347</v>
      </c>
      <c r="E74" s="2" t="s">
        <v>1348</v>
      </c>
    </row>
    <row r="75" spans="1:5" ht="83.4" thickBot="1" x14ac:dyDescent="0.35">
      <c r="A75" s="2" t="s">
        <v>1349</v>
      </c>
      <c r="B75" s="2" t="s">
        <v>1350</v>
      </c>
      <c r="C75" s="2" t="s">
        <v>1351</v>
      </c>
      <c r="D75" s="2" t="s">
        <v>1352</v>
      </c>
      <c r="E75" s="2" t="s">
        <v>446</v>
      </c>
    </row>
    <row r="76" spans="1:5" ht="42" thickBot="1" x14ac:dyDescent="0.35">
      <c r="A76" s="2" t="s">
        <v>1353</v>
      </c>
      <c r="B76" s="2" t="s">
        <v>1067</v>
      </c>
      <c r="C76" s="2" t="s">
        <v>1354</v>
      </c>
      <c r="D76" s="2" t="s">
        <v>1155</v>
      </c>
      <c r="E76" s="2" t="s">
        <v>1066</v>
      </c>
    </row>
    <row r="77" spans="1:5" ht="69.599999999999994" thickBot="1" x14ac:dyDescent="0.35">
      <c r="A77" s="2" t="s">
        <v>1355</v>
      </c>
      <c r="B77" s="2" t="s">
        <v>449</v>
      </c>
      <c r="C77" s="2" t="s">
        <v>282</v>
      </c>
      <c r="D77" s="2" t="s">
        <v>450</v>
      </c>
      <c r="E77" s="2" t="s">
        <v>451</v>
      </c>
    </row>
    <row r="78" spans="1:5" ht="55.8" thickBot="1" x14ac:dyDescent="0.35">
      <c r="A78" s="2" t="s">
        <v>1356</v>
      </c>
      <c r="B78" s="2" t="s">
        <v>1357</v>
      </c>
      <c r="C78" s="2" t="s">
        <v>1358</v>
      </c>
      <c r="D78" s="2" t="s">
        <v>1359</v>
      </c>
      <c r="E78" s="2" t="s">
        <v>1360</v>
      </c>
    </row>
    <row r="79" spans="1:5" ht="69.599999999999994" thickBot="1" x14ac:dyDescent="0.35">
      <c r="A79" s="2" t="s">
        <v>1361</v>
      </c>
      <c r="B79" s="2" t="s">
        <v>1362</v>
      </c>
      <c r="C79" s="2" t="s">
        <v>1363</v>
      </c>
      <c r="D79" s="2" t="s">
        <v>1364</v>
      </c>
      <c r="E79" s="2" t="s">
        <v>1365</v>
      </c>
    </row>
    <row r="80" spans="1:5" ht="15" thickBot="1" x14ac:dyDescent="0.35">
      <c r="A80" s="2" t="s">
        <v>1366</v>
      </c>
      <c r="B80" s="2">
        <v>75</v>
      </c>
      <c r="C80" s="2">
        <v>50</v>
      </c>
      <c r="D80" s="2">
        <v>60</v>
      </c>
      <c r="E80" s="2">
        <v>85</v>
      </c>
    </row>
    <row r="81" spans="1:5" ht="69.599999999999994" thickBot="1" x14ac:dyDescent="0.35">
      <c r="A81" s="2" t="s">
        <v>1367</v>
      </c>
      <c r="B81" s="2" t="s">
        <v>1172</v>
      </c>
      <c r="C81" s="2" t="s">
        <v>1061</v>
      </c>
      <c r="D81" s="2" t="s">
        <v>1140</v>
      </c>
      <c r="E81" s="2" t="s">
        <v>1062</v>
      </c>
    </row>
    <row r="82" spans="1:5" ht="42" thickBot="1" x14ac:dyDescent="0.35">
      <c r="A82" s="2" t="s">
        <v>1368</v>
      </c>
      <c r="B82" s="2" t="s">
        <v>1369</v>
      </c>
      <c r="C82" s="2" t="s">
        <v>1370</v>
      </c>
      <c r="D82" s="2" t="s">
        <v>1371</v>
      </c>
      <c r="E82" s="2" t="s">
        <v>1372</v>
      </c>
    </row>
    <row r="83" spans="1:5" ht="69.599999999999994" thickBot="1" x14ac:dyDescent="0.35">
      <c r="A83" s="2" t="s">
        <v>1373</v>
      </c>
      <c r="B83" s="2" t="s">
        <v>111</v>
      </c>
      <c r="C83" s="2" t="s">
        <v>470</v>
      </c>
      <c r="D83" s="2" t="s">
        <v>114</v>
      </c>
      <c r="E83" s="2" t="s">
        <v>113</v>
      </c>
    </row>
    <row r="84" spans="1:5" ht="69.599999999999994" thickBot="1" x14ac:dyDescent="0.35">
      <c r="A84" s="2" t="s">
        <v>1374</v>
      </c>
      <c r="B84" s="2" t="s">
        <v>1375</v>
      </c>
      <c r="C84" s="2" t="s">
        <v>1376</v>
      </c>
      <c r="D84" s="2" t="s">
        <v>1377</v>
      </c>
      <c r="E84" s="2" t="s">
        <v>1378</v>
      </c>
    </row>
    <row r="85" spans="1:5" ht="69.599999999999994" thickBot="1" x14ac:dyDescent="0.35">
      <c r="A85" s="2" t="s">
        <v>1379</v>
      </c>
      <c r="B85" s="2" t="s">
        <v>1380</v>
      </c>
      <c r="C85" s="2" t="s">
        <v>1381</v>
      </c>
      <c r="D85" s="2" t="s">
        <v>1382</v>
      </c>
      <c r="E85" s="2" t="s">
        <v>1383</v>
      </c>
    </row>
    <row r="86" spans="1:5" ht="42" thickBot="1" x14ac:dyDescent="0.35">
      <c r="A86" s="2" t="s">
        <v>1384</v>
      </c>
      <c r="B86" s="2">
        <v>65</v>
      </c>
      <c r="C86" s="2">
        <v>75</v>
      </c>
      <c r="D86" s="2">
        <v>55</v>
      </c>
      <c r="E86" s="2">
        <v>60</v>
      </c>
    </row>
    <row r="87" spans="1:5" ht="83.4" thickBot="1" x14ac:dyDescent="0.35">
      <c r="A87" s="2" t="s">
        <v>1385</v>
      </c>
      <c r="B87" s="2" t="s">
        <v>1386</v>
      </c>
      <c r="C87" s="2" t="s">
        <v>483</v>
      </c>
      <c r="D87" s="2" t="s">
        <v>1387</v>
      </c>
      <c r="E87" s="2" t="s">
        <v>485</v>
      </c>
    </row>
    <row r="88" spans="1:5" ht="42" thickBot="1" x14ac:dyDescent="0.35">
      <c r="A88" s="2" t="s">
        <v>1388</v>
      </c>
      <c r="B88" s="2" t="s">
        <v>1389</v>
      </c>
      <c r="C88" s="2" t="s">
        <v>1390</v>
      </c>
      <c r="D88" s="2" t="s">
        <v>1391</v>
      </c>
      <c r="E88" s="2" t="s">
        <v>1392</v>
      </c>
    </row>
    <row r="89" spans="1:5" ht="28.2" thickBot="1" x14ac:dyDescent="0.35">
      <c r="A89" s="2" t="s">
        <v>1393</v>
      </c>
      <c r="B89" s="2">
        <v>4</v>
      </c>
      <c r="C89" s="2">
        <v>3</v>
      </c>
      <c r="D89" s="2">
        <v>6</v>
      </c>
      <c r="E89" s="2">
        <v>5</v>
      </c>
    </row>
    <row r="90" spans="1:5" ht="55.8" thickBot="1" x14ac:dyDescent="0.35">
      <c r="A90" s="2" t="s">
        <v>1394</v>
      </c>
      <c r="B90" s="2" t="s">
        <v>1395</v>
      </c>
      <c r="C90" s="2" t="s">
        <v>1396</v>
      </c>
      <c r="D90" s="2" t="s">
        <v>1397</v>
      </c>
      <c r="E90" s="2" t="s">
        <v>426</v>
      </c>
    </row>
    <row r="91" spans="1:5" ht="83.4" thickBot="1" x14ac:dyDescent="0.35">
      <c r="A91" s="2" t="s">
        <v>1398</v>
      </c>
      <c r="B91" s="2" t="s">
        <v>497</v>
      </c>
      <c r="C91" s="2" t="s">
        <v>498</v>
      </c>
      <c r="D91" s="2" t="s">
        <v>1399</v>
      </c>
      <c r="E91" s="2" t="s">
        <v>500</v>
      </c>
    </row>
    <row r="92" spans="1:5" ht="55.8" thickBot="1" x14ac:dyDescent="0.35">
      <c r="A92" s="2" t="s">
        <v>1400</v>
      </c>
      <c r="B92" s="2" t="s">
        <v>1401</v>
      </c>
      <c r="C92" s="2" t="s">
        <v>1402</v>
      </c>
      <c r="D92" s="2" t="s">
        <v>1403</v>
      </c>
      <c r="E92" s="2" t="s">
        <v>1404</v>
      </c>
    </row>
    <row r="93" spans="1:5" ht="28.2" thickBot="1" x14ac:dyDescent="0.35">
      <c r="A93" s="2" t="s">
        <v>1405</v>
      </c>
      <c r="B93" s="2" t="s">
        <v>1406</v>
      </c>
      <c r="C93" s="2" t="s">
        <v>1407</v>
      </c>
      <c r="D93" s="2" t="s">
        <v>1408</v>
      </c>
      <c r="E93" s="2" t="s">
        <v>1409</v>
      </c>
    </row>
    <row r="94" spans="1:5" ht="55.8" thickBot="1" x14ac:dyDescent="0.35">
      <c r="A94" s="2" t="s">
        <v>1410</v>
      </c>
      <c r="B94" s="2" t="s">
        <v>1411</v>
      </c>
      <c r="C94" s="2" t="s">
        <v>1412</v>
      </c>
      <c r="D94" s="2" t="s">
        <v>1413</v>
      </c>
      <c r="E94" s="2" t="s">
        <v>1414</v>
      </c>
    </row>
    <row r="95" spans="1:5" ht="55.8" thickBot="1" x14ac:dyDescent="0.35">
      <c r="A95" s="2" t="s">
        <v>1415</v>
      </c>
      <c r="B95" s="2" t="s">
        <v>19</v>
      </c>
      <c r="C95" s="2" t="s">
        <v>516</v>
      </c>
      <c r="D95" s="2" t="s">
        <v>517</v>
      </c>
      <c r="E95" s="2" t="s">
        <v>518</v>
      </c>
    </row>
    <row r="96" spans="1:5" ht="55.8" thickBot="1" x14ac:dyDescent="0.35">
      <c r="A96" s="2" t="s">
        <v>1416</v>
      </c>
      <c r="B96" s="2" t="s">
        <v>1417</v>
      </c>
      <c r="C96" s="2" t="s">
        <v>1418</v>
      </c>
      <c r="D96" s="2" t="s">
        <v>1419</v>
      </c>
      <c r="E96" s="2" t="s">
        <v>1420</v>
      </c>
    </row>
    <row r="97" spans="1:5" ht="42" thickBot="1" x14ac:dyDescent="0.35">
      <c r="A97" s="2" t="s">
        <v>1421</v>
      </c>
      <c r="B97" s="2" t="s">
        <v>1422</v>
      </c>
      <c r="C97" s="2" t="s">
        <v>1423</v>
      </c>
      <c r="D97" s="2" t="s">
        <v>1424</v>
      </c>
      <c r="E97" s="2" t="s">
        <v>1425</v>
      </c>
    </row>
    <row r="98" spans="1:5" ht="69.599999999999994" thickBot="1" x14ac:dyDescent="0.35">
      <c r="A98" s="2" t="s">
        <v>1426</v>
      </c>
      <c r="B98" s="2" t="s">
        <v>530</v>
      </c>
      <c r="C98" s="2" t="s">
        <v>531</v>
      </c>
      <c r="D98" s="2" t="s">
        <v>532</v>
      </c>
      <c r="E98" s="2" t="s">
        <v>533</v>
      </c>
    </row>
    <row r="99" spans="1:5" ht="28.2" thickBot="1" x14ac:dyDescent="0.35">
      <c r="A99" s="2" t="s">
        <v>1427</v>
      </c>
      <c r="B99" s="2">
        <v>12</v>
      </c>
      <c r="C99" s="2">
        <v>10</v>
      </c>
      <c r="D99" s="2">
        <v>6</v>
      </c>
      <c r="E99" s="2">
        <v>24</v>
      </c>
    </row>
    <row r="100" spans="1:5" ht="83.4" thickBot="1" x14ac:dyDescent="0.35">
      <c r="A100" s="2" t="s">
        <v>1428</v>
      </c>
      <c r="B100" s="2" t="s">
        <v>1429</v>
      </c>
      <c r="C100" s="2" t="s">
        <v>1430</v>
      </c>
      <c r="D100" s="2" t="s">
        <v>1431</v>
      </c>
      <c r="E100" s="2" t="s">
        <v>1432</v>
      </c>
    </row>
    <row r="101" spans="1:5" ht="55.8" thickBot="1" x14ac:dyDescent="0.35">
      <c r="A101" s="2" t="s">
        <v>1433</v>
      </c>
      <c r="B101" s="2" t="s">
        <v>973</v>
      </c>
      <c r="C101" s="2" t="s">
        <v>991</v>
      </c>
      <c r="D101" s="2" t="s">
        <v>1032</v>
      </c>
      <c r="E101" s="2" t="s">
        <v>1117</v>
      </c>
    </row>
    <row r="102" spans="1:5" ht="69.599999999999994" thickBot="1" x14ac:dyDescent="0.35">
      <c r="A102" s="2" t="s">
        <v>1434</v>
      </c>
      <c r="B102" s="2" t="s">
        <v>1435</v>
      </c>
      <c r="C102" s="2" t="s">
        <v>1150</v>
      </c>
      <c r="D102" s="2" t="s">
        <v>1436</v>
      </c>
      <c r="E102" s="2" t="s">
        <v>1437</v>
      </c>
    </row>
    <row r="103" spans="1:5" ht="69.599999999999994" thickBot="1" x14ac:dyDescent="0.35">
      <c r="A103" s="2" t="s">
        <v>1438</v>
      </c>
      <c r="B103" s="2" t="s">
        <v>1439</v>
      </c>
      <c r="C103" s="2" t="s">
        <v>1163</v>
      </c>
      <c r="D103" s="2" t="s">
        <v>1440</v>
      </c>
      <c r="E103" s="2" t="s">
        <v>1441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opLeftCell="A92" workbookViewId="0">
      <selection activeCell="A97" sqref="A97:XFD97"/>
    </sheetView>
  </sheetViews>
  <sheetFormatPr baseColWidth="10" defaultRowHeight="14.4" x14ac:dyDescent="0.3"/>
  <cols>
    <col min="1" max="1" width="30.88671875" customWidth="1"/>
    <col min="2" max="2" width="19.21875" customWidth="1"/>
    <col min="3" max="3" width="20.6640625" customWidth="1"/>
    <col min="4" max="4" width="21" customWidth="1"/>
    <col min="5" max="5" width="19" customWidth="1"/>
  </cols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3.4" thickBot="1" x14ac:dyDescent="0.35">
      <c r="A2" s="2" t="s">
        <v>554</v>
      </c>
      <c r="B2" s="2">
        <v>60</v>
      </c>
      <c r="C2" s="2">
        <v>50</v>
      </c>
      <c r="D2" s="2">
        <v>55</v>
      </c>
      <c r="E2" s="2">
        <v>65</v>
      </c>
    </row>
    <row r="3" spans="1:5" ht="152.4" thickBot="1" x14ac:dyDescent="0.35">
      <c r="A3" s="2" t="s">
        <v>555</v>
      </c>
      <c r="B3" s="2" t="s">
        <v>104</v>
      </c>
      <c r="C3" s="2" t="s">
        <v>105</v>
      </c>
      <c r="D3" s="2" t="s">
        <v>243</v>
      </c>
      <c r="E3" s="2" t="s">
        <v>102</v>
      </c>
    </row>
    <row r="4" spans="1:5" ht="111" thickBot="1" x14ac:dyDescent="0.35">
      <c r="A4" s="2" t="s">
        <v>556</v>
      </c>
      <c r="B4" s="2" t="s">
        <v>557</v>
      </c>
      <c r="C4" s="2" t="s">
        <v>558</v>
      </c>
      <c r="D4" s="2" t="s">
        <v>559</v>
      </c>
      <c r="E4" s="2" t="s">
        <v>560</v>
      </c>
    </row>
    <row r="5" spans="1:5" ht="28.2" thickBot="1" x14ac:dyDescent="0.35">
      <c r="A5" s="2" t="s">
        <v>561</v>
      </c>
      <c r="B5" s="4" t="str">
        <f>"1/2"</f>
        <v>1/2</v>
      </c>
      <c r="C5" s="4" t="str">
        <f>"1/4"</f>
        <v>1/4</v>
      </c>
      <c r="D5" s="4" t="str">
        <f>"1/8"</f>
        <v>1/8</v>
      </c>
      <c r="E5" s="4" t="str">
        <f>"1"</f>
        <v>1</v>
      </c>
    </row>
    <row r="6" spans="1:5" ht="152.4" thickBot="1" x14ac:dyDescent="0.35">
      <c r="A6" s="2" t="s">
        <v>562</v>
      </c>
      <c r="B6" s="2" t="s">
        <v>563</v>
      </c>
      <c r="C6" s="2" t="s">
        <v>564</v>
      </c>
      <c r="D6" s="2" t="s">
        <v>16</v>
      </c>
      <c r="E6" s="2" t="s">
        <v>565</v>
      </c>
    </row>
    <row r="7" spans="1:5" ht="138.6" thickBot="1" x14ac:dyDescent="0.35">
      <c r="A7" s="2" t="s">
        <v>566</v>
      </c>
      <c r="B7" s="2" t="s">
        <v>567</v>
      </c>
      <c r="C7" s="2" t="s">
        <v>568</v>
      </c>
      <c r="D7" s="2" t="s">
        <v>569</v>
      </c>
      <c r="E7" s="2" t="s">
        <v>570</v>
      </c>
    </row>
    <row r="8" spans="1:5" ht="83.4" thickBot="1" x14ac:dyDescent="0.35">
      <c r="A8" s="2" t="s">
        <v>571</v>
      </c>
      <c r="B8" s="2">
        <v>25</v>
      </c>
      <c r="C8" s="2">
        <v>20</v>
      </c>
      <c r="D8" s="2">
        <v>50</v>
      </c>
      <c r="E8" s="2">
        <v>30</v>
      </c>
    </row>
    <row r="9" spans="1:5" ht="97.2" thickBot="1" x14ac:dyDescent="0.35">
      <c r="A9" s="2" t="s">
        <v>572</v>
      </c>
      <c r="B9" s="2" t="s">
        <v>302</v>
      </c>
      <c r="C9" s="2" t="s">
        <v>301</v>
      </c>
      <c r="D9" s="2" t="s">
        <v>299</v>
      </c>
      <c r="E9" s="2" t="s">
        <v>573</v>
      </c>
    </row>
    <row r="10" spans="1:5" ht="180" thickBot="1" x14ac:dyDescent="0.35">
      <c r="A10" s="2" t="s">
        <v>574</v>
      </c>
      <c r="B10" s="2" t="s">
        <v>102</v>
      </c>
      <c r="C10" s="2" t="s">
        <v>104</v>
      </c>
      <c r="D10" s="2" t="s">
        <v>103</v>
      </c>
      <c r="E10" s="2" t="s">
        <v>575</v>
      </c>
    </row>
    <row r="11" spans="1:5" ht="124.8" thickBot="1" x14ac:dyDescent="0.35">
      <c r="A11" s="2" t="s">
        <v>576</v>
      </c>
      <c r="B11" s="2" t="s">
        <v>577</v>
      </c>
      <c r="C11" s="2" t="s">
        <v>578</v>
      </c>
      <c r="D11" s="2" t="s">
        <v>579</v>
      </c>
      <c r="E11" s="2" t="s">
        <v>580</v>
      </c>
    </row>
    <row r="12" spans="1:5" ht="97.2" thickBot="1" x14ac:dyDescent="0.35">
      <c r="A12" s="2" t="s">
        <v>581</v>
      </c>
      <c r="B12" s="2" t="s">
        <v>113</v>
      </c>
      <c r="C12" s="2" t="s">
        <v>46</v>
      </c>
      <c r="D12" s="2" t="s">
        <v>47</v>
      </c>
      <c r="E12" s="2" t="s">
        <v>155</v>
      </c>
    </row>
    <row r="13" spans="1:5" ht="83.4" thickBot="1" x14ac:dyDescent="0.35">
      <c r="A13" s="2" t="s">
        <v>582</v>
      </c>
      <c r="B13" s="2" t="s">
        <v>583</v>
      </c>
      <c r="C13" s="2" t="s">
        <v>84</v>
      </c>
      <c r="D13" s="2" t="s">
        <v>584</v>
      </c>
      <c r="E13" s="2" t="s">
        <v>585</v>
      </c>
    </row>
    <row r="14" spans="1:5" ht="124.8" thickBot="1" x14ac:dyDescent="0.35">
      <c r="A14" s="2" t="s">
        <v>586</v>
      </c>
      <c r="B14" s="2">
        <v>1904</v>
      </c>
      <c r="C14" s="2">
        <v>1930</v>
      </c>
      <c r="D14" s="2">
        <v>1950</v>
      </c>
      <c r="E14" s="2">
        <v>1982</v>
      </c>
    </row>
    <row r="15" spans="1:5" ht="111" thickBot="1" x14ac:dyDescent="0.35">
      <c r="A15" s="2" t="s">
        <v>587</v>
      </c>
      <c r="B15" s="2" t="s">
        <v>588</v>
      </c>
      <c r="C15" s="2" t="s">
        <v>589</v>
      </c>
      <c r="D15" s="2" t="s">
        <v>590</v>
      </c>
      <c r="E15" s="2" t="s">
        <v>591</v>
      </c>
    </row>
    <row r="16" spans="1:5" ht="124.8" thickBot="1" x14ac:dyDescent="0.35">
      <c r="A16" s="2" t="s">
        <v>592</v>
      </c>
      <c r="B16" s="2" t="s">
        <v>320</v>
      </c>
      <c r="C16" s="2" t="s">
        <v>593</v>
      </c>
      <c r="D16" s="2" t="s">
        <v>594</v>
      </c>
      <c r="E16" s="2" t="s">
        <v>595</v>
      </c>
    </row>
    <row r="17" spans="1:5" ht="111" thickBot="1" x14ac:dyDescent="0.35">
      <c r="A17" s="2" t="s">
        <v>596</v>
      </c>
      <c r="B17" s="2" t="s">
        <v>426</v>
      </c>
      <c r="C17" s="2" t="s">
        <v>597</v>
      </c>
      <c r="D17" s="2" t="s">
        <v>598</v>
      </c>
      <c r="E17" s="2" t="s">
        <v>599</v>
      </c>
    </row>
    <row r="18" spans="1:5" ht="69.599999999999994" thickBot="1" x14ac:dyDescent="0.35">
      <c r="A18" s="2" t="s">
        <v>600</v>
      </c>
      <c r="B18" s="2" t="s">
        <v>148</v>
      </c>
      <c r="C18" s="2" t="s">
        <v>391</v>
      </c>
      <c r="D18" s="2" t="s">
        <v>601</v>
      </c>
      <c r="E18" s="2" t="s">
        <v>393</v>
      </c>
    </row>
    <row r="19" spans="1:5" ht="166.2" thickBot="1" x14ac:dyDescent="0.35">
      <c r="A19" s="2" t="s">
        <v>602</v>
      </c>
      <c r="B19" s="2" t="s">
        <v>500</v>
      </c>
      <c r="C19" s="2" t="s">
        <v>497</v>
      </c>
      <c r="D19" s="2" t="s">
        <v>498</v>
      </c>
      <c r="E19" s="2" t="s">
        <v>603</v>
      </c>
    </row>
    <row r="20" spans="1:5" ht="97.2" thickBot="1" x14ac:dyDescent="0.35">
      <c r="A20" s="2" t="s">
        <v>604</v>
      </c>
      <c r="B20" s="2">
        <v>600</v>
      </c>
      <c r="C20" s="2">
        <v>800</v>
      </c>
      <c r="D20" s="2">
        <v>700</v>
      </c>
      <c r="E20" s="2">
        <v>500</v>
      </c>
    </row>
    <row r="21" spans="1:5" ht="124.8" thickBot="1" x14ac:dyDescent="0.35">
      <c r="A21" s="2" t="s">
        <v>605</v>
      </c>
      <c r="B21" s="2" t="s">
        <v>606</v>
      </c>
      <c r="C21" s="2" t="s">
        <v>607</v>
      </c>
      <c r="D21" s="2" t="s">
        <v>322</v>
      </c>
      <c r="E21" s="2" t="s">
        <v>421</v>
      </c>
    </row>
    <row r="22" spans="1:5" ht="152.4" thickBot="1" x14ac:dyDescent="0.35">
      <c r="A22" s="2" t="s">
        <v>608</v>
      </c>
      <c r="B22" s="2" t="s">
        <v>564</v>
      </c>
      <c r="C22" s="2" t="s">
        <v>18</v>
      </c>
      <c r="D22" s="2" t="s">
        <v>609</v>
      </c>
      <c r="E22" s="2" t="s">
        <v>610</v>
      </c>
    </row>
    <row r="23" spans="1:5" ht="97.2" thickBot="1" x14ac:dyDescent="0.35">
      <c r="A23" s="2" t="s">
        <v>611</v>
      </c>
      <c r="B23" s="2" t="s">
        <v>612</v>
      </c>
      <c r="C23" s="2" t="s">
        <v>613</v>
      </c>
      <c r="D23" s="2" t="s">
        <v>614</v>
      </c>
      <c r="E23" s="2" t="s">
        <v>615</v>
      </c>
    </row>
    <row r="24" spans="1:5" ht="111" thickBot="1" x14ac:dyDescent="0.35">
      <c r="A24" s="2" t="s">
        <v>616</v>
      </c>
      <c r="B24" s="2" t="s">
        <v>617</v>
      </c>
      <c r="C24" s="2" t="s">
        <v>618</v>
      </c>
      <c r="D24" s="2" t="s">
        <v>619</v>
      </c>
      <c r="E24" s="2" t="s">
        <v>108</v>
      </c>
    </row>
    <row r="25" spans="1:5" ht="124.8" thickBot="1" x14ac:dyDescent="0.35">
      <c r="A25" s="2" t="s">
        <v>620</v>
      </c>
      <c r="B25" s="2" t="s">
        <v>104</v>
      </c>
      <c r="C25" s="2" t="s">
        <v>102</v>
      </c>
      <c r="D25" s="2" t="s">
        <v>621</v>
      </c>
      <c r="E25" s="2" t="s">
        <v>622</v>
      </c>
    </row>
    <row r="26" spans="1:5" ht="97.2" thickBot="1" x14ac:dyDescent="0.35">
      <c r="A26" s="2" t="s">
        <v>623</v>
      </c>
      <c r="B26" s="2" t="s">
        <v>624</v>
      </c>
      <c r="C26" s="2" t="s">
        <v>625</v>
      </c>
      <c r="D26" s="2" t="s">
        <v>626</v>
      </c>
      <c r="E26" s="2" t="s">
        <v>627</v>
      </c>
    </row>
    <row r="27" spans="1:5" ht="138.6" thickBot="1" x14ac:dyDescent="0.35">
      <c r="A27" s="2" t="s">
        <v>628</v>
      </c>
      <c r="B27" s="2" t="s">
        <v>629</v>
      </c>
      <c r="C27" s="2" t="s">
        <v>630</v>
      </c>
      <c r="D27" s="2" t="s">
        <v>631</v>
      </c>
      <c r="E27" s="2" t="s">
        <v>632</v>
      </c>
    </row>
    <row r="28" spans="1:5" ht="193.8" thickBot="1" x14ac:dyDescent="0.35">
      <c r="A28" s="2" t="s">
        <v>633</v>
      </c>
      <c r="B28" s="2" t="s">
        <v>634</v>
      </c>
      <c r="C28" s="2" t="s">
        <v>635</v>
      </c>
      <c r="D28" s="2" t="s">
        <v>461</v>
      </c>
      <c r="E28" s="2" t="s">
        <v>636</v>
      </c>
    </row>
    <row r="29" spans="1:5" ht="124.8" thickBot="1" x14ac:dyDescent="0.35">
      <c r="A29" s="2" t="s">
        <v>637</v>
      </c>
      <c r="B29" s="2" t="s">
        <v>638</v>
      </c>
      <c r="C29" s="2" t="s">
        <v>639</v>
      </c>
      <c r="D29" s="2" t="s">
        <v>640</v>
      </c>
      <c r="E29" s="2" t="s">
        <v>641</v>
      </c>
    </row>
    <row r="30" spans="1:5" ht="111" thickBot="1" x14ac:dyDescent="0.35">
      <c r="A30" s="2" t="s">
        <v>642</v>
      </c>
      <c r="B30" s="2">
        <v>6</v>
      </c>
      <c r="C30" s="2">
        <v>5</v>
      </c>
      <c r="D30" s="2">
        <v>8</v>
      </c>
      <c r="E30" s="2">
        <v>7</v>
      </c>
    </row>
    <row r="31" spans="1:5" ht="124.8" thickBot="1" x14ac:dyDescent="0.35">
      <c r="A31" s="2" t="s">
        <v>643</v>
      </c>
      <c r="B31" s="2" t="s">
        <v>644</v>
      </c>
      <c r="C31" s="2" t="s">
        <v>645</v>
      </c>
      <c r="D31" s="2" t="s">
        <v>646</v>
      </c>
      <c r="E31" s="2" t="s">
        <v>647</v>
      </c>
    </row>
    <row r="32" spans="1:5" ht="111" thickBot="1" x14ac:dyDescent="0.35">
      <c r="A32" s="2" t="s">
        <v>648</v>
      </c>
      <c r="B32" s="2" t="s">
        <v>649</v>
      </c>
      <c r="C32" s="2" t="s">
        <v>650</v>
      </c>
      <c r="D32" s="2" t="s">
        <v>651</v>
      </c>
      <c r="E32" s="2" t="s">
        <v>652</v>
      </c>
    </row>
    <row r="33" spans="1:5" ht="152.4" thickBot="1" x14ac:dyDescent="0.35">
      <c r="A33" s="2" t="s">
        <v>653</v>
      </c>
      <c r="B33" s="2" t="s">
        <v>654</v>
      </c>
      <c r="C33" s="2" t="s">
        <v>655</v>
      </c>
      <c r="D33" s="2" t="s">
        <v>656</v>
      </c>
      <c r="E33" s="2" t="s">
        <v>657</v>
      </c>
    </row>
    <row r="34" spans="1:5" ht="124.8" thickBot="1" x14ac:dyDescent="0.35">
      <c r="A34" s="2" t="s">
        <v>658</v>
      </c>
      <c r="B34" s="2" t="s">
        <v>297</v>
      </c>
      <c r="C34" s="2" t="s">
        <v>296</v>
      </c>
      <c r="D34" s="2" t="s">
        <v>659</v>
      </c>
      <c r="E34" s="2" t="s">
        <v>660</v>
      </c>
    </row>
    <row r="35" spans="1:5" ht="166.2" thickBot="1" x14ac:dyDescent="0.35">
      <c r="A35" s="2" t="s">
        <v>661</v>
      </c>
      <c r="B35" s="2" t="s">
        <v>662</v>
      </c>
      <c r="C35" s="2" t="s">
        <v>105</v>
      </c>
      <c r="D35" s="2" t="s">
        <v>663</v>
      </c>
      <c r="E35" s="2" t="s">
        <v>243</v>
      </c>
    </row>
    <row r="36" spans="1:5" ht="138.6" thickBot="1" x14ac:dyDescent="0.35">
      <c r="A36" s="2" t="s">
        <v>664</v>
      </c>
      <c r="B36" s="2" t="s">
        <v>665</v>
      </c>
      <c r="C36" s="2" t="s">
        <v>666</v>
      </c>
      <c r="D36" s="2" t="s">
        <v>667</v>
      </c>
      <c r="E36" s="2" t="s">
        <v>668</v>
      </c>
    </row>
    <row r="37" spans="1:5" ht="138.6" thickBot="1" x14ac:dyDescent="0.35">
      <c r="A37" s="2" t="s">
        <v>669</v>
      </c>
      <c r="B37" s="2" t="s">
        <v>150</v>
      </c>
      <c r="C37" s="2" t="s">
        <v>241</v>
      </c>
      <c r="D37" s="2" t="s">
        <v>153</v>
      </c>
      <c r="E37" s="2" t="s">
        <v>670</v>
      </c>
    </row>
    <row r="38" spans="1:5" ht="180" thickBot="1" x14ac:dyDescent="0.35">
      <c r="A38" s="2" t="s">
        <v>671</v>
      </c>
      <c r="B38" s="2" t="s">
        <v>377</v>
      </c>
      <c r="C38" s="2" t="s">
        <v>378</v>
      </c>
      <c r="D38" s="2" t="s">
        <v>379</v>
      </c>
      <c r="E38" s="2" t="s">
        <v>672</v>
      </c>
    </row>
    <row r="39" spans="1:5" ht="69.599999999999994" thickBot="1" x14ac:dyDescent="0.35">
      <c r="A39" s="2" t="s">
        <v>673</v>
      </c>
      <c r="B39" s="2">
        <v>63</v>
      </c>
      <c r="C39" s="2">
        <v>72</v>
      </c>
      <c r="D39" s="2">
        <v>56</v>
      </c>
      <c r="E39" s="2">
        <v>64</v>
      </c>
    </row>
    <row r="40" spans="1:5" ht="124.8" thickBot="1" x14ac:dyDescent="0.35">
      <c r="A40" s="2" t="s">
        <v>674</v>
      </c>
      <c r="B40" s="2" t="s">
        <v>675</v>
      </c>
      <c r="C40" s="2" t="s">
        <v>676</v>
      </c>
      <c r="D40" s="2" t="s">
        <v>677</v>
      </c>
      <c r="E40" s="2" t="s">
        <v>678</v>
      </c>
    </row>
    <row r="41" spans="1:5" ht="180" thickBot="1" x14ac:dyDescent="0.35">
      <c r="A41" s="2" t="s">
        <v>679</v>
      </c>
      <c r="B41" s="2" t="s">
        <v>680</v>
      </c>
      <c r="C41" s="2" t="s">
        <v>681</v>
      </c>
      <c r="D41" s="2" t="s">
        <v>682</v>
      </c>
      <c r="E41" s="2" t="s">
        <v>683</v>
      </c>
    </row>
    <row r="42" spans="1:5" ht="166.2" thickBot="1" x14ac:dyDescent="0.35">
      <c r="A42" s="2" t="s">
        <v>684</v>
      </c>
      <c r="B42" s="2" t="s">
        <v>685</v>
      </c>
      <c r="C42" s="2" t="s">
        <v>686</v>
      </c>
      <c r="D42" s="2" t="s">
        <v>687</v>
      </c>
      <c r="E42" s="2" t="s">
        <v>688</v>
      </c>
    </row>
    <row r="43" spans="1:5" ht="69.599999999999994" thickBot="1" x14ac:dyDescent="0.35">
      <c r="A43" s="2" t="s">
        <v>689</v>
      </c>
      <c r="B43" s="2">
        <v>45</v>
      </c>
      <c r="C43" s="2">
        <v>30</v>
      </c>
      <c r="D43" s="2">
        <v>60</v>
      </c>
      <c r="E43" s="2">
        <v>50</v>
      </c>
    </row>
    <row r="44" spans="1:5" ht="166.2" thickBot="1" x14ac:dyDescent="0.35">
      <c r="A44" s="2" t="s">
        <v>690</v>
      </c>
      <c r="B44" s="2" t="s">
        <v>691</v>
      </c>
      <c r="C44" s="2" t="s">
        <v>453</v>
      </c>
      <c r="D44" s="2" t="s">
        <v>455</v>
      </c>
      <c r="E44" s="2" t="s">
        <v>454</v>
      </c>
    </row>
    <row r="45" spans="1:5" ht="166.2" thickBot="1" x14ac:dyDescent="0.35">
      <c r="A45" s="2" t="s">
        <v>692</v>
      </c>
      <c r="B45" s="2" t="s">
        <v>693</v>
      </c>
      <c r="C45" s="2" t="s">
        <v>694</v>
      </c>
      <c r="D45" s="2" t="s">
        <v>695</v>
      </c>
      <c r="E45" s="2" t="s">
        <v>696</v>
      </c>
    </row>
    <row r="46" spans="1:5" ht="69.599999999999994" thickBot="1" x14ac:dyDescent="0.35">
      <c r="A46" s="2" t="s">
        <v>697</v>
      </c>
      <c r="B46" s="2" t="s">
        <v>698</v>
      </c>
      <c r="C46" s="4">
        <v>46238</v>
      </c>
      <c r="D46" s="4">
        <v>46114</v>
      </c>
      <c r="E46" s="4">
        <v>46054</v>
      </c>
    </row>
    <row r="47" spans="1:5" ht="221.4" thickBot="1" x14ac:dyDescent="0.35">
      <c r="A47" s="2" t="s">
        <v>699</v>
      </c>
      <c r="B47" s="2" t="s">
        <v>700</v>
      </c>
      <c r="C47" s="2" t="s">
        <v>701</v>
      </c>
      <c r="D47" s="2" t="s">
        <v>702</v>
      </c>
      <c r="E47" s="2" t="s">
        <v>374</v>
      </c>
    </row>
    <row r="48" spans="1:5" ht="111" thickBot="1" x14ac:dyDescent="0.35">
      <c r="A48" s="2" t="s">
        <v>703</v>
      </c>
      <c r="B48" s="2" t="s">
        <v>216</v>
      </c>
      <c r="C48" s="2" t="s">
        <v>704</v>
      </c>
      <c r="D48" s="2" t="s">
        <v>705</v>
      </c>
      <c r="E48" s="2" t="s">
        <v>706</v>
      </c>
    </row>
    <row r="49" spans="1:5" ht="166.2" thickBot="1" x14ac:dyDescent="0.35">
      <c r="A49" s="2" t="s">
        <v>707</v>
      </c>
      <c r="B49" s="2" t="s">
        <v>502</v>
      </c>
      <c r="C49" s="2" t="s">
        <v>504</v>
      </c>
      <c r="D49" s="2" t="s">
        <v>503</v>
      </c>
      <c r="E49" s="2" t="s">
        <v>708</v>
      </c>
    </row>
    <row r="50" spans="1:5" ht="69.599999999999994" thickBot="1" x14ac:dyDescent="0.35">
      <c r="A50" s="2" t="s">
        <v>709</v>
      </c>
      <c r="B50" s="2">
        <v>60</v>
      </c>
      <c r="C50" s="2">
        <v>100</v>
      </c>
      <c r="D50" s="2">
        <v>12</v>
      </c>
      <c r="E50" s="2">
        <v>30</v>
      </c>
    </row>
    <row r="51" spans="1:5" ht="152.4" thickBot="1" x14ac:dyDescent="0.35">
      <c r="A51" s="2" t="s">
        <v>710</v>
      </c>
      <c r="B51" s="2" t="s">
        <v>711</v>
      </c>
      <c r="C51" s="2" t="s">
        <v>712</v>
      </c>
      <c r="D51" s="2" t="s">
        <v>499</v>
      </c>
      <c r="E51" s="2" t="s">
        <v>713</v>
      </c>
    </row>
    <row r="52" spans="1:5" ht="15" thickBot="1" x14ac:dyDescent="0.35"/>
    <row r="53" spans="1:5" ht="28.2" thickBot="1" x14ac:dyDescent="0.35">
      <c r="A53" s="1" t="s">
        <v>1132</v>
      </c>
      <c r="B53" s="1" t="s">
        <v>1133</v>
      </c>
      <c r="C53" s="1" t="s">
        <v>1134</v>
      </c>
      <c r="D53" s="1" t="s">
        <v>1135</v>
      </c>
      <c r="E53" s="1" t="s">
        <v>1136</v>
      </c>
    </row>
    <row r="54" spans="1:5" ht="28.2" thickBot="1" x14ac:dyDescent="0.35">
      <c r="A54" s="2" t="s">
        <v>1442</v>
      </c>
      <c r="B54" s="2">
        <v>60</v>
      </c>
      <c r="C54" s="2">
        <v>50</v>
      </c>
      <c r="D54" s="2">
        <v>55</v>
      </c>
      <c r="E54" s="2">
        <v>65</v>
      </c>
    </row>
    <row r="55" spans="1:5" ht="55.8" thickBot="1" x14ac:dyDescent="0.35">
      <c r="A55" s="2" t="s">
        <v>1443</v>
      </c>
      <c r="B55" s="2" t="s">
        <v>1139</v>
      </c>
      <c r="C55" s="2" t="s">
        <v>1062</v>
      </c>
      <c r="D55" s="2" t="s">
        <v>1172</v>
      </c>
      <c r="E55" s="2" t="s">
        <v>102</v>
      </c>
    </row>
    <row r="56" spans="1:5" ht="42" thickBot="1" x14ac:dyDescent="0.35">
      <c r="A56" s="2" t="s">
        <v>1448</v>
      </c>
      <c r="B56" s="2" t="s">
        <v>563</v>
      </c>
      <c r="C56" s="2" t="s">
        <v>564</v>
      </c>
      <c r="D56" s="2" t="s">
        <v>16</v>
      </c>
      <c r="E56" s="2" t="s">
        <v>565</v>
      </c>
    </row>
    <row r="57" spans="1:5" ht="42" thickBot="1" x14ac:dyDescent="0.35">
      <c r="A57" s="2" t="s">
        <v>1449</v>
      </c>
      <c r="B57" s="2" t="s">
        <v>1450</v>
      </c>
      <c r="C57" s="2" t="s">
        <v>1451</v>
      </c>
      <c r="D57" s="2" t="s">
        <v>1452</v>
      </c>
      <c r="E57" s="2" t="s">
        <v>1453</v>
      </c>
    </row>
    <row r="58" spans="1:5" ht="28.2" thickBot="1" x14ac:dyDescent="0.35">
      <c r="A58" s="2" t="s">
        <v>1454</v>
      </c>
      <c r="B58" s="2">
        <v>25</v>
      </c>
      <c r="C58" s="2">
        <v>20</v>
      </c>
      <c r="D58" s="2">
        <v>50</v>
      </c>
      <c r="E58" s="2">
        <v>30</v>
      </c>
    </row>
    <row r="59" spans="1:5" ht="28.2" thickBot="1" x14ac:dyDescent="0.35">
      <c r="A59" s="2" t="s">
        <v>1455</v>
      </c>
      <c r="B59" s="2" t="s">
        <v>1228</v>
      </c>
      <c r="C59" s="2" t="s">
        <v>301</v>
      </c>
      <c r="D59" s="2" t="s">
        <v>1226</v>
      </c>
      <c r="E59" s="2" t="s">
        <v>1456</v>
      </c>
    </row>
    <row r="60" spans="1:5" ht="42" thickBot="1" x14ac:dyDescent="0.35">
      <c r="A60" s="2" t="s">
        <v>1457</v>
      </c>
      <c r="B60" s="2" t="s">
        <v>102</v>
      </c>
      <c r="C60" s="2" t="s">
        <v>1139</v>
      </c>
      <c r="D60" s="2" t="s">
        <v>1061</v>
      </c>
      <c r="E60" s="2" t="s">
        <v>1458</v>
      </c>
    </row>
    <row r="61" spans="1:5" ht="42" thickBot="1" x14ac:dyDescent="0.35">
      <c r="A61" s="2" t="s">
        <v>1459</v>
      </c>
      <c r="B61" s="2" t="s">
        <v>1460</v>
      </c>
      <c r="C61" s="2" t="s">
        <v>1461</v>
      </c>
      <c r="D61" s="2" t="s">
        <v>1462</v>
      </c>
      <c r="E61" s="2" t="s">
        <v>1463</v>
      </c>
    </row>
    <row r="62" spans="1:5" ht="28.2" thickBot="1" x14ac:dyDescent="0.35">
      <c r="A62" s="2" t="s">
        <v>1464</v>
      </c>
      <c r="B62" s="2" t="s">
        <v>113</v>
      </c>
      <c r="C62" s="2" t="s">
        <v>46</v>
      </c>
      <c r="D62" s="2" t="s">
        <v>47</v>
      </c>
      <c r="E62" s="2" t="s">
        <v>155</v>
      </c>
    </row>
    <row r="63" spans="1:5" ht="28.2" thickBot="1" x14ac:dyDescent="0.35">
      <c r="A63" s="2" t="s">
        <v>1465</v>
      </c>
      <c r="B63" s="2" t="s">
        <v>1466</v>
      </c>
      <c r="C63" s="2" t="s">
        <v>978</v>
      </c>
      <c r="D63" s="2" t="s">
        <v>1467</v>
      </c>
      <c r="E63" s="2" t="s">
        <v>1468</v>
      </c>
    </row>
    <row r="64" spans="1:5" ht="42" thickBot="1" x14ac:dyDescent="0.35">
      <c r="A64" s="2" t="s">
        <v>1469</v>
      </c>
      <c r="B64" s="2">
        <v>1904</v>
      </c>
      <c r="C64" s="2">
        <v>1930</v>
      </c>
      <c r="D64" s="2">
        <v>1950</v>
      </c>
      <c r="E64" s="2">
        <v>1982</v>
      </c>
    </row>
    <row r="65" spans="1:5" ht="28.2" thickBot="1" x14ac:dyDescent="0.35">
      <c r="A65" s="2" t="s">
        <v>1470</v>
      </c>
      <c r="B65" s="2" t="s">
        <v>1471</v>
      </c>
      <c r="C65" s="2" t="s">
        <v>1472</v>
      </c>
      <c r="D65" s="2" t="s">
        <v>1473</v>
      </c>
      <c r="E65" s="2" t="s">
        <v>1474</v>
      </c>
    </row>
    <row r="66" spans="1:5" ht="28.2" thickBot="1" x14ac:dyDescent="0.35">
      <c r="A66" s="2" t="s">
        <v>1475</v>
      </c>
      <c r="B66" s="2" t="s">
        <v>1246</v>
      </c>
      <c r="C66" s="2" t="s">
        <v>1249</v>
      </c>
      <c r="D66" s="2" t="s">
        <v>1476</v>
      </c>
      <c r="E66" s="2" t="s">
        <v>1477</v>
      </c>
    </row>
    <row r="67" spans="1:5" ht="42" thickBot="1" x14ac:dyDescent="0.35">
      <c r="A67" s="2" t="s">
        <v>1478</v>
      </c>
      <c r="B67" s="2" t="s">
        <v>426</v>
      </c>
      <c r="C67" s="2" t="s">
        <v>597</v>
      </c>
      <c r="D67" s="2" t="s">
        <v>1479</v>
      </c>
      <c r="E67" s="2" t="s">
        <v>599</v>
      </c>
    </row>
    <row r="68" spans="1:5" ht="28.2" thickBot="1" x14ac:dyDescent="0.35">
      <c r="A68" s="2" t="s">
        <v>1480</v>
      </c>
      <c r="B68" s="2" t="s">
        <v>1095</v>
      </c>
      <c r="C68" s="2" t="s">
        <v>1309</v>
      </c>
      <c r="D68" s="2" t="s">
        <v>1481</v>
      </c>
      <c r="E68" s="2" t="s">
        <v>1311</v>
      </c>
    </row>
    <row r="69" spans="1:5" ht="55.8" thickBot="1" x14ac:dyDescent="0.35">
      <c r="A69" s="2" t="s">
        <v>1482</v>
      </c>
      <c r="B69" s="2" t="s">
        <v>500</v>
      </c>
      <c r="C69" s="2" t="s">
        <v>497</v>
      </c>
      <c r="D69" s="2" t="s">
        <v>498</v>
      </c>
      <c r="E69" s="2" t="s">
        <v>603</v>
      </c>
    </row>
    <row r="70" spans="1:5" ht="28.2" thickBot="1" x14ac:dyDescent="0.35">
      <c r="A70" s="2" t="s">
        <v>1483</v>
      </c>
      <c r="B70" s="2">
        <v>600</v>
      </c>
      <c r="C70" s="2">
        <v>800</v>
      </c>
      <c r="D70" s="2">
        <v>700</v>
      </c>
      <c r="E70" s="2">
        <v>500</v>
      </c>
    </row>
    <row r="71" spans="1:5" ht="42" thickBot="1" x14ac:dyDescent="0.35">
      <c r="A71" s="2" t="s">
        <v>1484</v>
      </c>
      <c r="B71" s="2" t="s">
        <v>1485</v>
      </c>
      <c r="C71" s="2" t="s">
        <v>607</v>
      </c>
      <c r="D71" s="2" t="s">
        <v>1248</v>
      </c>
      <c r="E71" s="2" t="s">
        <v>421</v>
      </c>
    </row>
    <row r="72" spans="1:5" ht="42" thickBot="1" x14ac:dyDescent="0.35">
      <c r="A72" s="2" t="s">
        <v>1486</v>
      </c>
      <c r="B72" s="2" t="s">
        <v>564</v>
      </c>
      <c r="C72" s="2" t="s">
        <v>18</v>
      </c>
      <c r="D72" s="2" t="s">
        <v>609</v>
      </c>
      <c r="E72" s="2" t="s">
        <v>610</v>
      </c>
    </row>
    <row r="73" spans="1:5" ht="28.2" thickBot="1" x14ac:dyDescent="0.35">
      <c r="A73" s="2" t="s">
        <v>1487</v>
      </c>
      <c r="B73" s="2" t="s">
        <v>1488</v>
      </c>
      <c r="C73" s="2" t="s">
        <v>1489</v>
      </c>
      <c r="D73" s="2" t="s">
        <v>1490</v>
      </c>
      <c r="E73" s="2" t="s">
        <v>1491</v>
      </c>
    </row>
    <row r="74" spans="1:5" ht="28.2" thickBot="1" x14ac:dyDescent="0.35">
      <c r="A74" s="2" t="s">
        <v>1492</v>
      </c>
      <c r="B74" s="2" t="s">
        <v>1493</v>
      </c>
      <c r="C74" s="2" t="s">
        <v>618</v>
      </c>
      <c r="D74" s="2" t="s">
        <v>1155</v>
      </c>
      <c r="E74" s="2" t="s">
        <v>1066</v>
      </c>
    </row>
    <row r="75" spans="1:5" ht="42" thickBot="1" x14ac:dyDescent="0.35">
      <c r="A75" s="2" t="s">
        <v>1494</v>
      </c>
      <c r="B75" s="2" t="s">
        <v>1139</v>
      </c>
      <c r="C75" s="2" t="s">
        <v>102</v>
      </c>
      <c r="D75" s="2" t="s">
        <v>621</v>
      </c>
      <c r="E75" s="2" t="s">
        <v>622</v>
      </c>
    </row>
    <row r="76" spans="1:5" ht="28.2" thickBot="1" x14ac:dyDescent="0.35">
      <c r="A76" s="2" t="s">
        <v>1495</v>
      </c>
      <c r="B76" s="2" t="s">
        <v>1496</v>
      </c>
      <c r="C76" s="2" t="s">
        <v>625</v>
      </c>
      <c r="D76" s="2" t="s">
        <v>1497</v>
      </c>
      <c r="E76" s="2" t="s">
        <v>627</v>
      </c>
    </row>
    <row r="77" spans="1:5" ht="55.8" thickBot="1" x14ac:dyDescent="0.35">
      <c r="A77" s="2" t="s">
        <v>1498</v>
      </c>
      <c r="B77" s="2" t="s">
        <v>1499</v>
      </c>
      <c r="C77" s="2" t="s">
        <v>1500</v>
      </c>
      <c r="D77" s="2" t="s">
        <v>1501</v>
      </c>
      <c r="E77" s="2" t="s">
        <v>1502</v>
      </c>
    </row>
    <row r="78" spans="1:5" ht="55.8" thickBot="1" x14ac:dyDescent="0.35">
      <c r="A78" s="2" t="s">
        <v>1503</v>
      </c>
      <c r="B78" s="2" t="s">
        <v>1504</v>
      </c>
      <c r="C78" s="2" t="s">
        <v>1505</v>
      </c>
      <c r="D78" s="2" t="s">
        <v>1365</v>
      </c>
      <c r="E78" s="2" t="s">
        <v>1506</v>
      </c>
    </row>
    <row r="79" spans="1:5" ht="42" thickBot="1" x14ac:dyDescent="0.35">
      <c r="A79" s="2" t="s">
        <v>1507</v>
      </c>
      <c r="B79" s="2" t="s">
        <v>1508</v>
      </c>
      <c r="C79" s="2" t="s">
        <v>1509</v>
      </c>
      <c r="D79" s="2" t="s">
        <v>1510</v>
      </c>
      <c r="E79" s="2" t="s">
        <v>1511</v>
      </c>
    </row>
    <row r="80" spans="1:5" ht="42" thickBot="1" x14ac:dyDescent="0.35">
      <c r="A80" s="2" t="s">
        <v>1512</v>
      </c>
      <c r="B80" s="2">
        <v>6</v>
      </c>
      <c r="C80" s="2">
        <v>5</v>
      </c>
      <c r="D80" s="2">
        <v>8</v>
      </c>
      <c r="E80" s="2">
        <v>7</v>
      </c>
    </row>
    <row r="81" spans="1:5" ht="42" thickBot="1" x14ac:dyDescent="0.35">
      <c r="A81" s="2" t="s">
        <v>1513</v>
      </c>
      <c r="B81" s="2" t="s">
        <v>1514</v>
      </c>
      <c r="C81" s="2" t="s">
        <v>1515</v>
      </c>
      <c r="D81" s="2" t="s">
        <v>1516</v>
      </c>
      <c r="E81" s="2" t="s">
        <v>1517</v>
      </c>
    </row>
    <row r="82" spans="1:5" ht="42" thickBot="1" x14ac:dyDescent="0.35">
      <c r="A82" s="2" t="s">
        <v>1518</v>
      </c>
      <c r="B82" s="2" t="s">
        <v>1519</v>
      </c>
      <c r="C82" s="2" t="s">
        <v>1520</v>
      </c>
      <c r="D82" s="2" t="s">
        <v>651</v>
      </c>
      <c r="E82" s="2" t="s">
        <v>1521</v>
      </c>
    </row>
    <row r="83" spans="1:5" ht="42" thickBot="1" x14ac:dyDescent="0.35">
      <c r="A83" s="2" t="s">
        <v>1522</v>
      </c>
      <c r="B83" s="2" t="s">
        <v>654</v>
      </c>
      <c r="C83" s="2" t="s">
        <v>655</v>
      </c>
      <c r="D83" s="2" t="s">
        <v>656</v>
      </c>
      <c r="E83" s="2" t="s">
        <v>657</v>
      </c>
    </row>
    <row r="84" spans="1:5" ht="42" thickBot="1" x14ac:dyDescent="0.35">
      <c r="A84" s="2" t="s">
        <v>1523</v>
      </c>
      <c r="B84" s="2" t="s">
        <v>1224</v>
      </c>
      <c r="C84" s="2" t="s">
        <v>1223</v>
      </c>
      <c r="D84" s="2" t="s">
        <v>1524</v>
      </c>
      <c r="E84" s="2" t="s">
        <v>1525</v>
      </c>
    </row>
    <row r="85" spans="1:5" ht="55.8" thickBot="1" x14ac:dyDescent="0.35">
      <c r="A85" s="2" t="s">
        <v>1526</v>
      </c>
      <c r="B85" s="2" t="s">
        <v>1527</v>
      </c>
      <c r="C85" s="2" t="s">
        <v>1062</v>
      </c>
      <c r="D85" s="2" t="s">
        <v>1528</v>
      </c>
      <c r="E85" s="2" t="s">
        <v>1172</v>
      </c>
    </row>
    <row r="86" spans="1:5" ht="42" thickBot="1" x14ac:dyDescent="0.35">
      <c r="A86" s="2" t="s">
        <v>1529</v>
      </c>
      <c r="B86" s="2" t="s">
        <v>1530</v>
      </c>
      <c r="C86" s="2" t="s">
        <v>1531</v>
      </c>
      <c r="D86" s="2" t="s">
        <v>1532</v>
      </c>
      <c r="E86" s="2" t="s">
        <v>1533</v>
      </c>
    </row>
    <row r="87" spans="1:5" ht="42" thickBot="1" x14ac:dyDescent="0.35">
      <c r="A87" s="2" t="s">
        <v>1534</v>
      </c>
      <c r="B87" s="2" t="s">
        <v>1097</v>
      </c>
      <c r="C87" s="2" t="s">
        <v>1169</v>
      </c>
      <c r="D87" s="2" t="s">
        <v>1100</v>
      </c>
      <c r="E87" s="2" t="s">
        <v>1535</v>
      </c>
    </row>
    <row r="88" spans="1:5" ht="55.8" thickBot="1" x14ac:dyDescent="0.35">
      <c r="A88" s="2" t="s">
        <v>1536</v>
      </c>
      <c r="B88" s="2" t="s">
        <v>1298</v>
      </c>
      <c r="C88" s="2" t="s">
        <v>1299</v>
      </c>
      <c r="D88" s="2" t="s">
        <v>1300</v>
      </c>
      <c r="E88" s="2" t="s">
        <v>672</v>
      </c>
    </row>
    <row r="89" spans="1:5" ht="28.2" thickBot="1" x14ac:dyDescent="0.35">
      <c r="A89" s="2" t="s">
        <v>1537</v>
      </c>
      <c r="B89" s="2">
        <v>63</v>
      </c>
      <c r="C89" s="2">
        <v>72</v>
      </c>
      <c r="D89" s="2">
        <v>56</v>
      </c>
      <c r="E89" s="2">
        <v>64</v>
      </c>
    </row>
    <row r="90" spans="1:5" ht="55.8" thickBot="1" x14ac:dyDescent="0.35">
      <c r="A90" s="2" t="s">
        <v>1538</v>
      </c>
      <c r="B90" s="2" t="s">
        <v>1539</v>
      </c>
      <c r="C90" s="2" t="s">
        <v>1540</v>
      </c>
      <c r="D90" s="2" t="s">
        <v>1541</v>
      </c>
      <c r="E90" s="2" t="s">
        <v>1542</v>
      </c>
    </row>
    <row r="91" spans="1:5" ht="55.8" thickBot="1" x14ac:dyDescent="0.35">
      <c r="A91" s="2" t="s">
        <v>1543</v>
      </c>
      <c r="B91" s="2" t="s">
        <v>680</v>
      </c>
      <c r="C91" s="2" t="s">
        <v>681</v>
      </c>
      <c r="D91" s="2" t="s">
        <v>682</v>
      </c>
      <c r="E91" s="2" t="s">
        <v>683</v>
      </c>
    </row>
    <row r="92" spans="1:5" ht="55.8" thickBot="1" x14ac:dyDescent="0.35">
      <c r="A92" s="2" t="s">
        <v>1544</v>
      </c>
      <c r="B92" s="2" t="s">
        <v>1545</v>
      </c>
      <c r="C92" s="2" t="s">
        <v>1546</v>
      </c>
      <c r="D92" s="2" t="s">
        <v>1547</v>
      </c>
      <c r="E92" s="2" t="s">
        <v>1548</v>
      </c>
    </row>
    <row r="93" spans="1:5" ht="15" thickBot="1" x14ac:dyDescent="0.35">
      <c r="A93" s="2" t="s">
        <v>1549</v>
      </c>
      <c r="B93" s="2">
        <v>45</v>
      </c>
      <c r="C93" s="2">
        <v>30</v>
      </c>
      <c r="D93" s="2">
        <v>60</v>
      </c>
      <c r="E93" s="2">
        <v>50</v>
      </c>
    </row>
    <row r="94" spans="1:5" ht="55.8" thickBot="1" x14ac:dyDescent="0.35">
      <c r="A94" s="2" t="s">
        <v>1550</v>
      </c>
      <c r="B94" s="2" t="s">
        <v>1551</v>
      </c>
      <c r="C94" s="2" t="s">
        <v>1357</v>
      </c>
      <c r="D94" s="2" t="s">
        <v>1359</v>
      </c>
      <c r="E94" s="2" t="s">
        <v>1358</v>
      </c>
    </row>
    <row r="95" spans="1:5" ht="42" thickBot="1" x14ac:dyDescent="0.35">
      <c r="A95" s="2" t="s">
        <v>1552</v>
      </c>
      <c r="B95" s="2" t="s">
        <v>1553</v>
      </c>
      <c r="C95" s="2" t="s">
        <v>694</v>
      </c>
      <c r="D95" s="2" t="s">
        <v>1554</v>
      </c>
      <c r="E95" s="2" t="s">
        <v>1555</v>
      </c>
    </row>
    <row r="96" spans="1:5" ht="55.8" thickBot="1" x14ac:dyDescent="0.35">
      <c r="A96" s="2" t="s">
        <v>1557</v>
      </c>
      <c r="B96" s="2" t="s">
        <v>1558</v>
      </c>
      <c r="C96" s="2" t="s">
        <v>701</v>
      </c>
      <c r="D96" s="2" t="s">
        <v>1559</v>
      </c>
      <c r="E96" s="2" t="s">
        <v>374</v>
      </c>
    </row>
    <row r="97" spans="1:5" ht="42" thickBot="1" x14ac:dyDescent="0.35">
      <c r="A97" s="2" t="s">
        <v>1560</v>
      </c>
      <c r="B97" s="2" t="s">
        <v>1402</v>
      </c>
      <c r="C97" s="2" t="s">
        <v>1404</v>
      </c>
      <c r="D97" s="2" t="s">
        <v>1403</v>
      </c>
      <c r="E97" s="2" t="s">
        <v>1401</v>
      </c>
    </row>
    <row r="98" spans="1:5" ht="28.2" thickBot="1" x14ac:dyDescent="0.35">
      <c r="A98" s="2" t="s">
        <v>1561</v>
      </c>
      <c r="B98" s="2">
        <v>60</v>
      </c>
      <c r="C98" s="2">
        <v>100</v>
      </c>
      <c r="D98" s="2">
        <v>12</v>
      </c>
      <c r="E98" s="2">
        <v>30</v>
      </c>
    </row>
    <row r="99" spans="1:5" ht="55.8" thickBot="1" x14ac:dyDescent="0.35">
      <c r="A99" s="2" t="s">
        <v>1562</v>
      </c>
      <c r="B99" s="2" t="s">
        <v>1563</v>
      </c>
      <c r="C99" s="2" t="s">
        <v>1564</v>
      </c>
      <c r="D99" s="2" t="s">
        <v>1399</v>
      </c>
      <c r="E99" s="2" t="s">
        <v>1565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97" workbookViewId="0">
      <selection activeCell="A100" sqref="A100:XFD100"/>
    </sheetView>
  </sheetViews>
  <sheetFormatPr baseColWidth="10" defaultRowHeight="14.4" x14ac:dyDescent="0.3"/>
  <cols>
    <col min="1" max="1" width="30" customWidth="1"/>
    <col min="2" max="2" width="23.77734375" customWidth="1"/>
    <col min="3" max="3" width="18" customWidth="1"/>
    <col min="4" max="4" width="20.33203125" customWidth="1"/>
    <col min="5" max="5" width="20.21875" customWidth="1"/>
  </cols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thickBot="1" x14ac:dyDescent="0.35">
      <c r="A2" s="2" t="s">
        <v>856</v>
      </c>
      <c r="B2" s="2">
        <v>100</v>
      </c>
      <c r="C2" s="2">
        <v>75</v>
      </c>
      <c r="D2" s="2">
        <v>125</v>
      </c>
      <c r="E2" s="2">
        <v>90</v>
      </c>
    </row>
    <row r="3" spans="1:5" ht="221.4" thickBot="1" x14ac:dyDescent="0.35">
      <c r="A3" s="2" t="s">
        <v>714</v>
      </c>
      <c r="B3" s="2" t="s">
        <v>715</v>
      </c>
      <c r="C3" s="2" t="s">
        <v>716</v>
      </c>
      <c r="D3" s="2" t="s">
        <v>484</v>
      </c>
      <c r="E3" s="2" t="s">
        <v>717</v>
      </c>
    </row>
    <row r="4" spans="1:5" ht="138.6" thickBot="1" x14ac:dyDescent="0.35">
      <c r="A4" s="2" t="s">
        <v>718</v>
      </c>
      <c r="B4" s="2" t="s">
        <v>557</v>
      </c>
      <c r="C4" s="2" t="s">
        <v>558</v>
      </c>
      <c r="D4" s="2" t="s">
        <v>559</v>
      </c>
      <c r="E4" s="2" t="s">
        <v>560</v>
      </c>
    </row>
    <row r="5" spans="1:5" ht="55.8" thickBot="1" x14ac:dyDescent="0.35">
      <c r="A5" s="2" t="s">
        <v>719</v>
      </c>
      <c r="B5" s="4">
        <v>46054</v>
      </c>
      <c r="C5" s="4">
        <v>46082</v>
      </c>
      <c r="D5" s="4">
        <v>46115</v>
      </c>
      <c r="E5" s="4">
        <v>46083</v>
      </c>
    </row>
    <row r="6" spans="1:5" ht="166.2" thickBot="1" x14ac:dyDescent="0.35">
      <c r="A6" s="2" t="s">
        <v>720</v>
      </c>
      <c r="B6" s="2" t="s">
        <v>564</v>
      </c>
      <c r="C6" s="2" t="s">
        <v>233</v>
      </c>
      <c r="D6" s="2" t="s">
        <v>16</v>
      </c>
      <c r="E6" s="2" t="s">
        <v>721</v>
      </c>
    </row>
    <row r="7" spans="1:5" ht="166.2" thickBot="1" x14ac:dyDescent="0.35">
      <c r="A7" s="2" t="s">
        <v>722</v>
      </c>
      <c r="B7" s="2" t="s">
        <v>723</v>
      </c>
      <c r="C7" s="2" t="s">
        <v>724</v>
      </c>
      <c r="D7" s="2" t="s">
        <v>725</v>
      </c>
      <c r="E7" s="2" t="s">
        <v>726</v>
      </c>
    </row>
    <row r="8" spans="1:5" ht="83.4" thickBot="1" x14ac:dyDescent="0.35">
      <c r="A8" s="2" t="s">
        <v>727</v>
      </c>
      <c r="B8" s="2">
        <v>12</v>
      </c>
      <c r="C8" s="2">
        <v>14</v>
      </c>
      <c r="D8" s="2">
        <v>10</v>
      </c>
      <c r="E8" s="2">
        <v>11</v>
      </c>
    </row>
    <row r="9" spans="1:5" ht="166.2" thickBot="1" x14ac:dyDescent="0.35">
      <c r="A9" s="2" t="s">
        <v>728</v>
      </c>
      <c r="B9" s="2" t="s">
        <v>631</v>
      </c>
      <c r="C9" s="2" t="s">
        <v>729</v>
      </c>
      <c r="D9" s="2" t="s">
        <v>630</v>
      </c>
      <c r="E9" s="2" t="s">
        <v>632</v>
      </c>
    </row>
    <row r="10" spans="1:5" ht="166.2" thickBot="1" x14ac:dyDescent="0.35">
      <c r="A10" s="2" t="s">
        <v>730</v>
      </c>
      <c r="B10" s="2" t="s">
        <v>575</v>
      </c>
      <c r="C10" s="2" t="s">
        <v>482</v>
      </c>
      <c r="D10" s="2" t="s">
        <v>103</v>
      </c>
      <c r="E10" s="2" t="s">
        <v>731</v>
      </c>
    </row>
    <row r="11" spans="1:5" ht="166.2" thickBot="1" x14ac:dyDescent="0.35">
      <c r="A11" s="2" t="s">
        <v>732</v>
      </c>
      <c r="B11" s="2" t="s">
        <v>733</v>
      </c>
      <c r="C11" s="2" t="s">
        <v>502</v>
      </c>
      <c r="D11" s="2" t="s">
        <v>734</v>
      </c>
      <c r="E11" s="2" t="s">
        <v>735</v>
      </c>
    </row>
    <row r="12" spans="1:5" ht="83.4" thickBot="1" x14ac:dyDescent="0.35">
      <c r="A12" s="2" t="s">
        <v>736</v>
      </c>
      <c r="B12" s="2" t="s">
        <v>737</v>
      </c>
      <c r="C12" s="2" t="s">
        <v>738</v>
      </c>
      <c r="D12" s="2" t="s">
        <v>739</v>
      </c>
      <c r="E12" s="2" t="s">
        <v>740</v>
      </c>
    </row>
    <row r="13" spans="1:5" ht="180" thickBot="1" x14ac:dyDescent="0.35">
      <c r="A13" s="2" t="s">
        <v>741</v>
      </c>
      <c r="B13" s="2" t="s">
        <v>742</v>
      </c>
      <c r="C13" s="2" t="s">
        <v>743</v>
      </c>
      <c r="D13" s="2" t="s">
        <v>744</v>
      </c>
      <c r="E13" s="2" t="s">
        <v>397</v>
      </c>
    </row>
    <row r="14" spans="1:5" ht="28.2" thickBot="1" x14ac:dyDescent="0.35">
      <c r="A14" s="2" t="s">
        <v>857</v>
      </c>
      <c r="B14" s="2">
        <v>2018</v>
      </c>
      <c r="C14" s="2">
        <v>2014</v>
      </c>
      <c r="D14" s="2">
        <v>2022</v>
      </c>
      <c r="E14" s="2">
        <v>2010</v>
      </c>
    </row>
    <row r="15" spans="1:5" ht="138.6" thickBot="1" x14ac:dyDescent="0.35">
      <c r="A15" s="2" t="s">
        <v>746</v>
      </c>
      <c r="B15" s="2" t="s">
        <v>590</v>
      </c>
      <c r="C15" s="2" t="s">
        <v>589</v>
      </c>
      <c r="D15" s="2" t="s">
        <v>588</v>
      </c>
      <c r="E15" s="2" t="s">
        <v>591</v>
      </c>
    </row>
    <row r="16" spans="1:5" ht="152.4" thickBot="1" x14ac:dyDescent="0.35">
      <c r="A16" s="2" t="s">
        <v>747</v>
      </c>
      <c r="B16" s="2" t="s">
        <v>748</v>
      </c>
      <c r="C16" s="2" t="s">
        <v>749</v>
      </c>
      <c r="D16" s="2" t="s">
        <v>750</v>
      </c>
      <c r="E16" s="2" t="s">
        <v>751</v>
      </c>
    </row>
    <row r="17" spans="1:5" ht="124.8" thickBot="1" x14ac:dyDescent="0.35">
      <c r="A17" s="2" t="s">
        <v>752</v>
      </c>
      <c r="B17" s="2" t="s">
        <v>495</v>
      </c>
      <c r="C17" s="2" t="s">
        <v>753</v>
      </c>
      <c r="D17" s="2" t="s">
        <v>493</v>
      </c>
      <c r="E17" s="2" t="s">
        <v>426</v>
      </c>
    </row>
    <row r="18" spans="1:5" ht="97.2" thickBot="1" x14ac:dyDescent="0.35">
      <c r="A18" s="2" t="s">
        <v>754</v>
      </c>
      <c r="B18" s="2" t="s">
        <v>392</v>
      </c>
      <c r="C18" s="2" t="s">
        <v>391</v>
      </c>
      <c r="D18" s="2" t="s">
        <v>148</v>
      </c>
      <c r="E18" s="2" t="s">
        <v>755</v>
      </c>
    </row>
    <row r="19" spans="1:5" ht="180" thickBot="1" x14ac:dyDescent="0.35">
      <c r="A19" s="2" t="s">
        <v>756</v>
      </c>
      <c r="B19" s="2" t="s">
        <v>500</v>
      </c>
      <c r="C19" s="2" t="s">
        <v>757</v>
      </c>
      <c r="D19" s="2" t="s">
        <v>497</v>
      </c>
      <c r="E19" s="2" t="s">
        <v>498</v>
      </c>
    </row>
    <row r="20" spans="1:5" ht="111" thickBot="1" x14ac:dyDescent="0.35">
      <c r="A20" s="2" t="s">
        <v>758</v>
      </c>
      <c r="B20" s="2">
        <v>300</v>
      </c>
      <c r="C20" s="2">
        <v>400</v>
      </c>
      <c r="D20" s="2">
        <v>350</v>
      </c>
      <c r="E20" s="2">
        <v>200</v>
      </c>
    </row>
    <row r="21" spans="1:5" ht="180" thickBot="1" x14ac:dyDescent="0.35">
      <c r="A21" s="2" t="s">
        <v>759</v>
      </c>
      <c r="B21" s="2" t="s">
        <v>760</v>
      </c>
      <c r="C21" s="2" t="s">
        <v>761</v>
      </c>
      <c r="D21" s="2" t="s">
        <v>762</v>
      </c>
      <c r="E21" s="2" t="s">
        <v>763</v>
      </c>
    </row>
    <row r="22" spans="1:5" ht="166.2" thickBot="1" x14ac:dyDescent="0.35">
      <c r="A22" s="2" t="s">
        <v>764</v>
      </c>
      <c r="B22" s="2" t="s">
        <v>16</v>
      </c>
      <c r="C22" s="2" t="s">
        <v>434</v>
      </c>
      <c r="D22" s="2" t="s">
        <v>233</v>
      </c>
      <c r="E22" s="2" t="s">
        <v>433</v>
      </c>
    </row>
    <row r="23" spans="1:5" ht="111" thickBot="1" x14ac:dyDescent="0.35">
      <c r="A23" s="2" t="s">
        <v>765</v>
      </c>
      <c r="B23" s="2" t="s">
        <v>766</v>
      </c>
      <c r="C23" s="2" t="s">
        <v>767</v>
      </c>
      <c r="D23" s="2" t="s">
        <v>768</v>
      </c>
      <c r="E23" s="2" t="s">
        <v>769</v>
      </c>
    </row>
    <row r="24" spans="1:5" ht="124.8" thickBot="1" x14ac:dyDescent="0.35">
      <c r="A24" s="2" t="s">
        <v>770</v>
      </c>
      <c r="B24" s="2" t="s">
        <v>109</v>
      </c>
      <c r="C24" s="2" t="s">
        <v>219</v>
      </c>
      <c r="D24" s="2" t="s">
        <v>771</v>
      </c>
      <c r="E24" s="2" t="s">
        <v>619</v>
      </c>
    </row>
    <row r="25" spans="1:5" ht="180" thickBot="1" x14ac:dyDescent="0.35">
      <c r="A25" s="2" t="s">
        <v>772</v>
      </c>
      <c r="B25" s="2" t="s">
        <v>773</v>
      </c>
      <c r="C25" s="2" t="s">
        <v>774</v>
      </c>
      <c r="D25" s="2" t="s">
        <v>775</v>
      </c>
      <c r="E25" s="2" t="s">
        <v>702</v>
      </c>
    </row>
    <row r="26" spans="1:5" ht="180" thickBot="1" x14ac:dyDescent="0.35">
      <c r="A26" s="2" t="s">
        <v>776</v>
      </c>
      <c r="B26" s="2" t="s">
        <v>777</v>
      </c>
      <c r="C26" s="2" t="s">
        <v>778</v>
      </c>
      <c r="D26" s="2" t="s">
        <v>779</v>
      </c>
      <c r="E26" s="2" t="s">
        <v>780</v>
      </c>
    </row>
    <row r="27" spans="1:5" ht="152.4" thickBot="1" x14ac:dyDescent="0.35">
      <c r="A27" s="2" t="s">
        <v>781</v>
      </c>
      <c r="B27" s="2" t="s">
        <v>782</v>
      </c>
      <c r="C27" s="2" t="s">
        <v>783</v>
      </c>
      <c r="D27" s="2" t="s">
        <v>784</v>
      </c>
      <c r="E27" s="2" t="s">
        <v>785</v>
      </c>
    </row>
    <row r="28" spans="1:5" ht="221.4" thickBot="1" x14ac:dyDescent="0.35">
      <c r="A28" s="2" t="s">
        <v>786</v>
      </c>
      <c r="B28" s="2" t="s">
        <v>787</v>
      </c>
      <c r="C28" s="2" t="s">
        <v>788</v>
      </c>
      <c r="D28" s="2" t="s">
        <v>789</v>
      </c>
      <c r="E28" s="2" t="s">
        <v>790</v>
      </c>
    </row>
    <row r="29" spans="1:5" ht="152.4" thickBot="1" x14ac:dyDescent="0.35">
      <c r="A29" s="2" t="s">
        <v>791</v>
      </c>
      <c r="B29" s="2" t="s">
        <v>792</v>
      </c>
      <c r="C29" s="2" t="s">
        <v>81</v>
      </c>
      <c r="D29" s="2" t="s">
        <v>793</v>
      </c>
      <c r="E29" s="2" t="s">
        <v>794</v>
      </c>
    </row>
    <row r="30" spans="1:5" ht="111" thickBot="1" x14ac:dyDescent="0.35">
      <c r="A30" s="2" t="s">
        <v>795</v>
      </c>
      <c r="B30" s="2" t="s">
        <v>796</v>
      </c>
      <c r="C30" s="2" t="s">
        <v>797</v>
      </c>
      <c r="D30" s="2" t="s">
        <v>798</v>
      </c>
      <c r="E30" s="2" t="s">
        <v>799</v>
      </c>
    </row>
    <row r="31" spans="1:5" ht="166.2" thickBot="1" x14ac:dyDescent="0.35">
      <c r="A31" s="2" t="s">
        <v>800</v>
      </c>
      <c r="B31" s="2" t="s">
        <v>801</v>
      </c>
      <c r="C31" s="2" t="s">
        <v>802</v>
      </c>
      <c r="D31" s="2" t="s">
        <v>803</v>
      </c>
      <c r="E31" s="2" t="s">
        <v>804</v>
      </c>
    </row>
    <row r="32" spans="1:5" ht="166.2" thickBot="1" x14ac:dyDescent="0.35">
      <c r="A32" s="2" t="s">
        <v>805</v>
      </c>
      <c r="B32" s="2" t="s">
        <v>204</v>
      </c>
      <c r="C32" s="2" t="s">
        <v>731</v>
      </c>
      <c r="D32" s="2" t="s">
        <v>105</v>
      </c>
      <c r="E32" s="2" t="s">
        <v>243</v>
      </c>
    </row>
    <row r="33" spans="1:5" ht="180" thickBot="1" x14ac:dyDescent="0.35">
      <c r="A33" s="2" t="s">
        <v>806</v>
      </c>
      <c r="B33" s="2" t="s">
        <v>807</v>
      </c>
      <c r="C33" s="2" t="s">
        <v>808</v>
      </c>
      <c r="D33" s="2" t="s">
        <v>656</v>
      </c>
      <c r="E33" s="2" t="s">
        <v>809</v>
      </c>
    </row>
    <row r="34" spans="1:5" ht="193.8" thickBot="1" x14ac:dyDescent="0.35">
      <c r="A34" s="2" t="s">
        <v>810</v>
      </c>
      <c r="B34" s="2" t="s">
        <v>811</v>
      </c>
      <c r="C34" s="2" t="s">
        <v>812</v>
      </c>
      <c r="D34" s="2" t="s">
        <v>813</v>
      </c>
      <c r="E34" s="2" t="s">
        <v>814</v>
      </c>
    </row>
    <row r="35" spans="1:5" ht="138.6" thickBot="1" x14ac:dyDescent="0.35">
      <c r="A35" s="2" t="s">
        <v>815</v>
      </c>
      <c r="B35" s="2" t="s">
        <v>243</v>
      </c>
      <c r="C35" s="2" t="s">
        <v>103</v>
      </c>
      <c r="D35" s="2" t="s">
        <v>105</v>
      </c>
      <c r="E35" s="2" t="s">
        <v>204</v>
      </c>
    </row>
    <row r="36" spans="1:5" ht="152.4" thickBot="1" x14ac:dyDescent="0.35">
      <c r="A36" s="2" t="s">
        <v>816</v>
      </c>
      <c r="B36" s="2" t="s">
        <v>817</v>
      </c>
      <c r="C36" s="2" t="s">
        <v>818</v>
      </c>
      <c r="D36" s="2" t="s">
        <v>819</v>
      </c>
      <c r="E36" s="2" t="s">
        <v>820</v>
      </c>
    </row>
    <row r="37" spans="1:5" ht="180" thickBot="1" x14ac:dyDescent="0.35">
      <c r="A37" s="2" t="s">
        <v>821</v>
      </c>
      <c r="B37" s="2" t="s">
        <v>822</v>
      </c>
      <c r="C37" s="2" t="s">
        <v>670</v>
      </c>
      <c r="D37" s="2" t="s">
        <v>153</v>
      </c>
      <c r="E37" s="2" t="s">
        <v>823</v>
      </c>
    </row>
    <row r="38" spans="1:5" ht="193.8" thickBot="1" x14ac:dyDescent="0.35">
      <c r="A38" s="2" t="s">
        <v>824</v>
      </c>
      <c r="B38" s="2" t="s">
        <v>103</v>
      </c>
      <c r="C38" s="2" t="s">
        <v>243</v>
      </c>
      <c r="D38" s="2" t="s">
        <v>105</v>
      </c>
      <c r="E38" s="2" t="s">
        <v>825</v>
      </c>
    </row>
    <row r="39" spans="1:5" ht="97.2" thickBot="1" x14ac:dyDescent="0.35">
      <c r="A39" s="2" t="s">
        <v>826</v>
      </c>
      <c r="B39" s="2">
        <v>72</v>
      </c>
      <c r="C39" s="2">
        <v>81</v>
      </c>
      <c r="D39" s="2">
        <v>64</v>
      </c>
      <c r="E39" s="2">
        <v>73</v>
      </c>
    </row>
    <row r="40" spans="1:5" ht="111" thickBot="1" x14ac:dyDescent="0.35">
      <c r="A40" s="2" t="s">
        <v>827</v>
      </c>
      <c r="B40" s="2" t="s">
        <v>676</v>
      </c>
      <c r="C40" s="2" t="s">
        <v>675</v>
      </c>
      <c r="D40" s="2" t="s">
        <v>677</v>
      </c>
      <c r="E40" s="2" t="s">
        <v>678</v>
      </c>
    </row>
    <row r="41" spans="1:5" ht="207.6" thickBot="1" x14ac:dyDescent="0.35">
      <c r="A41" s="2" t="s">
        <v>828</v>
      </c>
      <c r="B41" s="2" t="s">
        <v>721</v>
      </c>
      <c r="C41" s="2" t="s">
        <v>829</v>
      </c>
      <c r="D41" s="2" t="s">
        <v>19</v>
      </c>
      <c r="E41" s="2" t="s">
        <v>830</v>
      </c>
    </row>
    <row r="42" spans="1:5" ht="193.8" thickBot="1" x14ac:dyDescent="0.35">
      <c r="A42" s="2" t="s">
        <v>831</v>
      </c>
      <c r="B42" s="2" t="s">
        <v>686</v>
      </c>
      <c r="C42" s="2" t="s">
        <v>685</v>
      </c>
      <c r="D42" s="2" t="s">
        <v>688</v>
      </c>
      <c r="E42" s="2" t="s">
        <v>832</v>
      </c>
    </row>
    <row r="43" spans="1:5" ht="83.4" thickBot="1" x14ac:dyDescent="0.35">
      <c r="A43" s="2" t="s">
        <v>833</v>
      </c>
      <c r="B43" s="2">
        <v>4.25</v>
      </c>
      <c r="C43" s="2">
        <v>3.8</v>
      </c>
      <c r="D43" s="2">
        <v>4.5</v>
      </c>
      <c r="E43" s="2">
        <v>3.25</v>
      </c>
    </row>
    <row r="44" spans="1:5" ht="152.4" thickBot="1" x14ac:dyDescent="0.35">
      <c r="A44" s="2" t="s">
        <v>834</v>
      </c>
      <c r="B44" s="2" t="s">
        <v>835</v>
      </c>
      <c r="C44" s="2" t="s">
        <v>836</v>
      </c>
      <c r="D44" s="2" t="s">
        <v>837</v>
      </c>
      <c r="E44" s="2" t="s">
        <v>838</v>
      </c>
    </row>
    <row r="45" spans="1:5" ht="207.6" thickBot="1" x14ac:dyDescent="0.35">
      <c r="A45" s="2" t="s">
        <v>839</v>
      </c>
      <c r="B45" s="2" t="s">
        <v>840</v>
      </c>
      <c r="C45" s="2" t="s">
        <v>841</v>
      </c>
      <c r="D45" s="2" t="s">
        <v>842</v>
      </c>
      <c r="E45" s="2" t="s">
        <v>843</v>
      </c>
    </row>
    <row r="46" spans="1:5" ht="138.6" thickBot="1" x14ac:dyDescent="0.35">
      <c r="A46" s="2" t="s">
        <v>844</v>
      </c>
      <c r="B46" s="2">
        <v>0.75</v>
      </c>
      <c r="C46" s="2">
        <v>0.5</v>
      </c>
      <c r="D46" s="2">
        <v>0.34</v>
      </c>
      <c r="E46" s="2">
        <v>0.25</v>
      </c>
    </row>
    <row r="47" spans="1:5" ht="152.4" thickBot="1" x14ac:dyDescent="0.35">
      <c r="A47" s="2" t="s">
        <v>845</v>
      </c>
      <c r="B47" s="2" t="s">
        <v>621</v>
      </c>
      <c r="C47" s="2" t="s">
        <v>102</v>
      </c>
      <c r="D47" s="2" t="s">
        <v>415</v>
      </c>
      <c r="E47" s="2" t="s">
        <v>104</v>
      </c>
    </row>
    <row r="48" spans="1:5" ht="166.2" thickBot="1" x14ac:dyDescent="0.35">
      <c r="A48" s="2" t="s">
        <v>846</v>
      </c>
      <c r="B48" s="2" t="s">
        <v>847</v>
      </c>
      <c r="C48" s="2" t="s">
        <v>848</v>
      </c>
      <c r="D48" s="2" t="s">
        <v>849</v>
      </c>
      <c r="E48" s="2" t="s">
        <v>850</v>
      </c>
    </row>
    <row r="49" spans="1:5" ht="193.8" thickBot="1" x14ac:dyDescent="0.35">
      <c r="A49" s="2" t="s">
        <v>851</v>
      </c>
      <c r="B49" s="2" t="s">
        <v>502</v>
      </c>
      <c r="C49" s="2" t="s">
        <v>503</v>
      </c>
      <c r="D49" s="2" t="s">
        <v>708</v>
      </c>
      <c r="E49" s="2" t="s">
        <v>852</v>
      </c>
    </row>
    <row r="50" spans="1:5" ht="83.4" thickBot="1" x14ac:dyDescent="0.35">
      <c r="A50" s="2" t="s">
        <v>853</v>
      </c>
      <c r="B50" s="2" t="s">
        <v>226</v>
      </c>
      <c r="C50" s="2" t="s">
        <v>227</v>
      </c>
      <c r="D50" s="2" t="s">
        <v>400</v>
      </c>
      <c r="E50" s="2" t="s">
        <v>229</v>
      </c>
    </row>
    <row r="51" spans="1:5" ht="166.2" thickBot="1" x14ac:dyDescent="0.35">
      <c r="A51" s="2" t="s">
        <v>854</v>
      </c>
      <c r="B51" s="2" t="s">
        <v>712</v>
      </c>
      <c r="C51" s="2" t="s">
        <v>711</v>
      </c>
      <c r="D51" s="2" t="s">
        <v>713</v>
      </c>
      <c r="E51" s="2" t="s">
        <v>855</v>
      </c>
    </row>
    <row r="52" spans="1:5" ht="15" thickBot="1" x14ac:dyDescent="0.35"/>
    <row r="53" spans="1:5" ht="28.2" thickBot="1" x14ac:dyDescent="0.35">
      <c r="A53" s="1" t="s">
        <v>1132</v>
      </c>
      <c r="B53" s="1" t="s">
        <v>1133</v>
      </c>
      <c r="C53" s="1" t="s">
        <v>1134</v>
      </c>
      <c r="D53" s="1" t="s">
        <v>1135</v>
      </c>
      <c r="E53" s="1" t="s">
        <v>1136</v>
      </c>
    </row>
    <row r="54" spans="1:5" ht="28.2" thickBot="1" x14ac:dyDescent="0.35">
      <c r="A54" s="2" t="s">
        <v>1703</v>
      </c>
      <c r="B54" s="2">
        <v>100</v>
      </c>
      <c r="C54" s="2">
        <v>75</v>
      </c>
      <c r="D54" s="2">
        <v>125</v>
      </c>
      <c r="E54" s="2">
        <v>90</v>
      </c>
    </row>
    <row r="55" spans="1:5" ht="55.8" thickBot="1" x14ac:dyDescent="0.35">
      <c r="A55" s="2" t="s">
        <v>1566</v>
      </c>
      <c r="B55" s="2" t="s">
        <v>1567</v>
      </c>
      <c r="C55" s="2" t="s">
        <v>716</v>
      </c>
      <c r="D55" s="2" t="s">
        <v>1387</v>
      </c>
      <c r="E55" s="2" t="s">
        <v>1568</v>
      </c>
    </row>
    <row r="56" spans="1:5" ht="55.8" thickBot="1" x14ac:dyDescent="0.35">
      <c r="A56" s="2" t="s">
        <v>1569</v>
      </c>
      <c r="B56" s="2" t="s">
        <v>1444</v>
      </c>
      <c r="C56" s="2" t="s">
        <v>1445</v>
      </c>
      <c r="D56" s="2" t="s">
        <v>1446</v>
      </c>
      <c r="E56" s="2" t="s">
        <v>1447</v>
      </c>
    </row>
    <row r="57" spans="1:5" ht="28.2" thickBot="1" x14ac:dyDescent="0.35">
      <c r="A57" s="2" t="s">
        <v>1570</v>
      </c>
      <c r="B57" s="4">
        <v>46054</v>
      </c>
      <c r="C57" s="4">
        <v>46082</v>
      </c>
      <c r="D57" s="4">
        <v>46115</v>
      </c>
      <c r="E57" s="4">
        <v>46083</v>
      </c>
    </row>
    <row r="58" spans="1:5" ht="55.8" thickBot="1" x14ac:dyDescent="0.35">
      <c r="A58" s="2" t="s">
        <v>1571</v>
      </c>
      <c r="B58" s="2" t="s">
        <v>564</v>
      </c>
      <c r="C58" s="2" t="s">
        <v>233</v>
      </c>
      <c r="D58" s="2" t="s">
        <v>16</v>
      </c>
      <c r="E58" s="2" t="s">
        <v>721</v>
      </c>
    </row>
    <row r="59" spans="1:5" ht="42" thickBot="1" x14ac:dyDescent="0.35">
      <c r="A59" s="2" t="s">
        <v>1572</v>
      </c>
      <c r="B59" s="2" t="s">
        <v>1573</v>
      </c>
      <c r="C59" s="2" t="s">
        <v>1574</v>
      </c>
      <c r="D59" s="2" t="s">
        <v>1575</v>
      </c>
      <c r="E59" s="2" t="s">
        <v>1576</v>
      </c>
    </row>
    <row r="60" spans="1:5" ht="28.2" thickBot="1" x14ac:dyDescent="0.35">
      <c r="A60" s="2" t="s">
        <v>1577</v>
      </c>
      <c r="B60" s="2">
        <v>12</v>
      </c>
      <c r="C60" s="2">
        <v>14</v>
      </c>
      <c r="D60" s="2">
        <v>10</v>
      </c>
      <c r="E60" s="2">
        <v>11</v>
      </c>
    </row>
    <row r="61" spans="1:5" ht="55.8" thickBot="1" x14ac:dyDescent="0.35">
      <c r="A61" s="2" t="s">
        <v>1578</v>
      </c>
      <c r="B61" s="2" t="s">
        <v>1501</v>
      </c>
      <c r="C61" s="2" t="s">
        <v>1579</v>
      </c>
      <c r="D61" s="2" t="s">
        <v>1500</v>
      </c>
      <c r="E61" s="2" t="s">
        <v>1502</v>
      </c>
    </row>
    <row r="62" spans="1:5" ht="55.8" thickBot="1" x14ac:dyDescent="0.35">
      <c r="A62" s="2" t="s">
        <v>1580</v>
      </c>
      <c r="B62" s="2" t="s">
        <v>1458</v>
      </c>
      <c r="C62" s="2" t="s">
        <v>1386</v>
      </c>
      <c r="D62" s="2" t="s">
        <v>1061</v>
      </c>
      <c r="E62" s="2" t="s">
        <v>1581</v>
      </c>
    </row>
    <row r="63" spans="1:5" ht="55.8" thickBot="1" x14ac:dyDescent="0.35">
      <c r="A63" s="2" t="s">
        <v>1582</v>
      </c>
      <c r="B63" s="2" t="s">
        <v>1583</v>
      </c>
      <c r="C63" s="2" t="s">
        <v>1402</v>
      </c>
      <c r="D63" s="2" t="s">
        <v>1584</v>
      </c>
      <c r="E63" s="2" t="s">
        <v>1585</v>
      </c>
    </row>
    <row r="64" spans="1:5" ht="28.2" thickBot="1" x14ac:dyDescent="0.35">
      <c r="A64" s="2" t="s">
        <v>1586</v>
      </c>
      <c r="B64" s="2" t="s">
        <v>737</v>
      </c>
      <c r="C64" s="2" t="s">
        <v>738</v>
      </c>
      <c r="D64" s="2" t="s">
        <v>739</v>
      </c>
      <c r="E64" s="2" t="s">
        <v>740</v>
      </c>
    </row>
    <row r="65" spans="1:5" ht="69.599999999999994" thickBot="1" x14ac:dyDescent="0.35">
      <c r="A65" s="2" t="s">
        <v>1587</v>
      </c>
      <c r="B65" s="2" t="s">
        <v>1588</v>
      </c>
      <c r="C65" s="2" t="s">
        <v>1589</v>
      </c>
      <c r="D65" s="2" t="s">
        <v>1590</v>
      </c>
      <c r="E65" s="2" t="s">
        <v>1315</v>
      </c>
    </row>
    <row r="66" spans="1:5" ht="55.8" thickBot="1" x14ac:dyDescent="0.35">
      <c r="A66" s="2" t="s">
        <v>1591</v>
      </c>
      <c r="B66" s="2" t="s">
        <v>1592</v>
      </c>
      <c r="C66" s="2" t="s">
        <v>1593</v>
      </c>
      <c r="D66" s="2" t="s">
        <v>1594</v>
      </c>
      <c r="E66" s="2" t="s">
        <v>745</v>
      </c>
    </row>
    <row r="67" spans="1:5" ht="55.8" thickBot="1" x14ac:dyDescent="0.35">
      <c r="A67" s="2" t="s">
        <v>1595</v>
      </c>
      <c r="B67" s="2" t="s">
        <v>1596</v>
      </c>
      <c r="C67" s="2" t="s">
        <v>1597</v>
      </c>
      <c r="D67" s="2" t="s">
        <v>1598</v>
      </c>
      <c r="E67" s="2" t="s">
        <v>1599</v>
      </c>
    </row>
    <row r="68" spans="1:5" ht="55.8" thickBot="1" x14ac:dyDescent="0.35">
      <c r="A68" s="2" t="s">
        <v>1600</v>
      </c>
      <c r="B68" s="2" t="s">
        <v>1601</v>
      </c>
      <c r="C68" s="2" t="s">
        <v>1602</v>
      </c>
      <c r="D68" s="2" t="s">
        <v>1603</v>
      </c>
      <c r="E68" s="2" t="s">
        <v>1604</v>
      </c>
    </row>
    <row r="69" spans="1:5" ht="42" thickBot="1" x14ac:dyDescent="0.35">
      <c r="A69" s="2" t="s">
        <v>1605</v>
      </c>
      <c r="B69" s="2" t="s">
        <v>1397</v>
      </c>
      <c r="C69" s="2" t="s">
        <v>1606</v>
      </c>
      <c r="D69" s="2" t="s">
        <v>1395</v>
      </c>
      <c r="E69" s="2" t="s">
        <v>426</v>
      </c>
    </row>
    <row r="70" spans="1:5" ht="28.2" thickBot="1" x14ac:dyDescent="0.35">
      <c r="A70" s="2" t="s">
        <v>1607</v>
      </c>
      <c r="B70" s="2" t="s">
        <v>1310</v>
      </c>
      <c r="C70" s="2" t="s">
        <v>1309</v>
      </c>
      <c r="D70" s="2" t="s">
        <v>1095</v>
      </c>
      <c r="E70" s="2" t="s">
        <v>1608</v>
      </c>
    </row>
    <row r="71" spans="1:5" ht="69.599999999999994" thickBot="1" x14ac:dyDescent="0.35">
      <c r="A71" s="2" t="s">
        <v>1609</v>
      </c>
      <c r="B71" s="2" t="s">
        <v>500</v>
      </c>
      <c r="C71" s="2" t="s">
        <v>757</v>
      </c>
      <c r="D71" s="2" t="s">
        <v>497</v>
      </c>
      <c r="E71" s="2" t="s">
        <v>498</v>
      </c>
    </row>
    <row r="72" spans="1:5" ht="28.2" thickBot="1" x14ac:dyDescent="0.35">
      <c r="A72" s="2" t="s">
        <v>1610</v>
      </c>
      <c r="B72" s="2">
        <v>300</v>
      </c>
      <c r="C72" s="2">
        <v>400</v>
      </c>
      <c r="D72" s="2">
        <v>350</v>
      </c>
      <c r="E72" s="2">
        <v>200</v>
      </c>
    </row>
    <row r="73" spans="1:5" ht="55.8" thickBot="1" x14ac:dyDescent="0.35">
      <c r="A73" s="2" t="s">
        <v>1611</v>
      </c>
      <c r="B73" s="2" t="s">
        <v>1612</v>
      </c>
      <c r="C73" s="2" t="s">
        <v>1613</v>
      </c>
      <c r="D73" s="2" t="s">
        <v>1614</v>
      </c>
      <c r="E73" s="2" t="s">
        <v>1615</v>
      </c>
    </row>
    <row r="74" spans="1:5" ht="42" thickBot="1" x14ac:dyDescent="0.35">
      <c r="A74" s="2" t="s">
        <v>1616</v>
      </c>
      <c r="B74" s="2" t="s">
        <v>16</v>
      </c>
      <c r="C74" s="2" t="s">
        <v>434</v>
      </c>
      <c r="D74" s="2" t="s">
        <v>233</v>
      </c>
      <c r="E74" s="2" t="s">
        <v>433</v>
      </c>
    </row>
    <row r="75" spans="1:5" ht="42" thickBot="1" x14ac:dyDescent="0.35">
      <c r="A75" s="2" t="s">
        <v>1617</v>
      </c>
      <c r="B75" s="2" t="s">
        <v>1618</v>
      </c>
      <c r="C75" s="2" t="s">
        <v>1619</v>
      </c>
      <c r="D75" s="2" t="s">
        <v>1620</v>
      </c>
      <c r="E75" s="2" t="s">
        <v>1621</v>
      </c>
    </row>
    <row r="76" spans="1:5" ht="42" thickBot="1" x14ac:dyDescent="0.35">
      <c r="A76" s="2" t="s">
        <v>1622</v>
      </c>
      <c r="B76" s="2" t="s">
        <v>1067</v>
      </c>
      <c r="C76" s="2" t="s">
        <v>1354</v>
      </c>
      <c r="D76" s="2" t="s">
        <v>1623</v>
      </c>
      <c r="E76" s="2" t="s">
        <v>1155</v>
      </c>
    </row>
    <row r="77" spans="1:5" ht="55.8" thickBot="1" x14ac:dyDescent="0.35">
      <c r="A77" s="2" t="s">
        <v>1624</v>
      </c>
      <c r="B77" s="2" t="s">
        <v>1625</v>
      </c>
      <c r="C77" s="2" t="s">
        <v>1626</v>
      </c>
      <c r="D77" s="2" t="s">
        <v>1627</v>
      </c>
      <c r="E77" s="2" t="s">
        <v>1559</v>
      </c>
    </row>
    <row r="78" spans="1:5" ht="55.8" thickBot="1" x14ac:dyDescent="0.35">
      <c r="A78" s="2" t="s">
        <v>1628</v>
      </c>
      <c r="B78" s="2" t="s">
        <v>1629</v>
      </c>
      <c r="C78" s="2" t="s">
        <v>1630</v>
      </c>
      <c r="D78" s="2" t="s">
        <v>1631</v>
      </c>
      <c r="E78" s="2" t="s">
        <v>1632</v>
      </c>
    </row>
    <row r="79" spans="1:5" ht="42" thickBot="1" x14ac:dyDescent="0.35">
      <c r="A79" s="2" t="s">
        <v>1633</v>
      </c>
      <c r="B79" s="2" t="s">
        <v>1634</v>
      </c>
      <c r="C79" s="2" t="s">
        <v>1635</v>
      </c>
      <c r="D79" s="2" t="s">
        <v>1636</v>
      </c>
      <c r="E79" s="2" t="s">
        <v>1637</v>
      </c>
    </row>
    <row r="80" spans="1:5" ht="55.8" thickBot="1" x14ac:dyDescent="0.35">
      <c r="A80" s="2" t="s">
        <v>1638</v>
      </c>
      <c r="B80" s="2" t="s">
        <v>1639</v>
      </c>
      <c r="C80" s="2" t="s">
        <v>1640</v>
      </c>
      <c r="D80" s="2" t="s">
        <v>1641</v>
      </c>
      <c r="E80" s="2" t="s">
        <v>1642</v>
      </c>
    </row>
    <row r="81" spans="1:5" ht="42" thickBot="1" x14ac:dyDescent="0.35">
      <c r="A81" s="2" t="s">
        <v>1643</v>
      </c>
      <c r="B81" s="2" t="s">
        <v>1644</v>
      </c>
      <c r="C81" s="2" t="s">
        <v>1645</v>
      </c>
      <c r="D81" s="2" t="s">
        <v>1646</v>
      </c>
      <c r="E81" s="2" t="s">
        <v>1647</v>
      </c>
    </row>
    <row r="82" spans="1:5" ht="42" thickBot="1" x14ac:dyDescent="0.35">
      <c r="A82" s="2" t="s">
        <v>1648</v>
      </c>
      <c r="B82" s="2" t="s">
        <v>1649</v>
      </c>
      <c r="C82" s="2" t="s">
        <v>1650</v>
      </c>
      <c r="D82" s="2" t="s">
        <v>1651</v>
      </c>
      <c r="E82" s="2" t="s">
        <v>1652</v>
      </c>
    </row>
    <row r="83" spans="1:5" ht="42" thickBot="1" x14ac:dyDescent="0.35">
      <c r="A83" s="2" t="s">
        <v>1653</v>
      </c>
      <c r="B83" s="2" t="s">
        <v>801</v>
      </c>
      <c r="C83" s="2" t="s">
        <v>802</v>
      </c>
      <c r="D83" s="2" t="s">
        <v>803</v>
      </c>
      <c r="E83" s="2" t="s">
        <v>804</v>
      </c>
    </row>
    <row r="84" spans="1:5" ht="55.8" thickBot="1" x14ac:dyDescent="0.35">
      <c r="A84" s="2" t="s">
        <v>1654</v>
      </c>
      <c r="B84" s="2" t="s">
        <v>1140</v>
      </c>
      <c r="C84" s="2" t="s">
        <v>1581</v>
      </c>
      <c r="D84" s="2" t="s">
        <v>1062</v>
      </c>
      <c r="E84" s="2" t="s">
        <v>1172</v>
      </c>
    </row>
    <row r="85" spans="1:5" ht="42" thickBot="1" x14ac:dyDescent="0.35">
      <c r="A85" s="2" t="s">
        <v>1655</v>
      </c>
      <c r="B85" s="2" t="s">
        <v>807</v>
      </c>
      <c r="C85" s="2" t="s">
        <v>808</v>
      </c>
      <c r="D85" s="2" t="s">
        <v>656</v>
      </c>
      <c r="E85" s="2" t="s">
        <v>809</v>
      </c>
    </row>
    <row r="86" spans="1:5" ht="55.8" thickBot="1" x14ac:dyDescent="0.35">
      <c r="A86" s="2" t="s">
        <v>1656</v>
      </c>
      <c r="B86" s="2" t="s">
        <v>1657</v>
      </c>
      <c r="C86" s="2" t="s">
        <v>1658</v>
      </c>
      <c r="D86" s="2" t="s">
        <v>1468</v>
      </c>
      <c r="E86" s="2" t="s">
        <v>1659</v>
      </c>
    </row>
    <row r="87" spans="1:5" ht="42" thickBot="1" x14ac:dyDescent="0.35">
      <c r="A87" s="2" t="s">
        <v>1660</v>
      </c>
      <c r="B87" s="2" t="s">
        <v>1172</v>
      </c>
      <c r="C87" s="2" t="s">
        <v>1061</v>
      </c>
      <c r="D87" s="2" t="s">
        <v>1062</v>
      </c>
      <c r="E87" s="2" t="s">
        <v>1140</v>
      </c>
    </row>
    <row r="88" spans="1:5" ht="69.599999999999994" thickBot="1" x14ac:dyDescent="0.35">
      <c r="A88" s="2" t="s">
        <v>1661</v>
      </c>
      <c r="B88" s="2" t="s">
        <v>1662</v>
      </c>
      <c r="C88" s="2" t="s">
        <v>1663</v>
      </c>
      <c r="D88" s="2" t="s">
        <v>1664</v>
      </c>
      <c r="E88" s="2" t="s">
        <v>1665</v>
      </c>
    </row>
    <row r="89" spans="1:5" ht="55.8" thickBot="1" x14ac:dyDescent="0.35">
      <c r="A89" s="2" t="s">
        <v>1666</v>
      </c>
      <c r="B89" s="2" t="s">
        <v>1667</v>
      </c>
      <c r="C89" s="2" t="s">
        <v>1535</v>
      </c>
      <c r="D89" s="2" t="s">
        <v>1100</v>
      </c>
      <c r="E89" s="2" t="s">
        <v>1668</v>
      </c>
    </row>
    <row r="90" spans="1:5" ht="69.599999999999994" thickBot="1" x14ac:dyDescent="0.35">
      <c r="A90" s="2" t="s">
        <v>1669</v>
      </c>
      <c r="B90" s="2" t="s">
        <v>1061</v>
      </c>
      <c r="C90" s="2" t="s">
        <v>1172</v>
      </c>
      <c r="D90" s="2" t="s">
        <v>1062</v>
      </c>
      <c r="E90" s="2" t="s">
        <v>1670</v>
      </c>
    </row>
    <row r="91" spans="1:5" ht="28.2" thickBot="1" x14ac:dyDescent="0.35">
      <c r="A91" s="2" t="s">
        <v>1671</v>
      </c>
      <c r="B91" s="2">
        <v>72</v>
      </c>
      <c r="C91" s="2">
        <v>81</v>
      </c>
      <c r="D91" s="2">
        <v>64</v>
      </c>
      <c r="E91" s="2">
        <v>73</v>
      </c>
    </row>
    <row r="92" spans="1:5" ht="42" thickBot="1" x14ac:dyDescent="0.35">
      <c r="A92" s="2" t="s">
        <v>1672</v>
      </c>
      <c r="B92" s="2" t="s">
        <v>1540</v>
      </c>
      <c r="C92" s="2" t="s">
        <v>1539</v>
      </c>
      <c r="D92" s="2" t="s">
        <v>1541</v>
      </c>
      <c r="E92" s="2" t="s">
        <v>1542</v>
      </c>
    </row>
    <row r="93" spans="1:5" ht="69.599999999999994" thickBot="1" x14ac:dyDescent="0.35">
      <c r="A93" s="2" t="s">
        <v>1673</v>
      </c>
      <c r="B93" s="2" t="s">
        <v>721</v>
      </c>
      <c r="C93" s="2" t="s">
        <v>829</v>
      </c>
      <c r="D93" s="2" t="s">
        <v>19</v>
      </c>
      <c r="E93" s="2" t="s">
        <v>830</v>
      </c>
    </row>
    <row r="94" spans="1:5" ht="69.599999999999994" thickBot="1" x14ac:dyDescent="0.35">
      <c r="A94" s="2" t="s">
        <v>1674</v>
      </c>
      <c r="B94" s="2" t="s">
        <v>1546</v>
      </c>
      <c r="C94" s="2" t="s">
        <v>1545</v>
      </c>
      <c r="D94" s="2" t="s">
        <v>1675</v>
      </c>
      <c r="E94" s="2" t="s">
        <v>1676</v>
      </c>
    </row>
    <row r="95" spans="1:5" ht="28.2" thickBot="1" x14ac:dyDescent="0.35">
      <c r="A95" s="2" t="s">
        <v>1677</v>
      </c>
      <c r="B95" s="2" t="s">
        <v>1678</v>
      </c>
      <c r="C95" s="2" t="s">
        <v>1679</v>
      </c>
      <c r="D95" s="2" t="s">
        <v>1680</v>
      </c>
      <c r="E95" s="2" t="s">
        <v>1681</v>
      </c>
    </row>
    <row r="96" spans="1:5" ht="55.8" thickBot="1" x14ac:dyDescent="0.35">
      <c r="A96" s="2" t="s">
        <v>1682</v>
      </c>
      <c r="B96" s="2" t="s">
        <v>1683</v>
      </c>
      <c r="C96" s="2" t="s">
        <v>1684</v>
      </c>
      <c r="D96" s="2" t="s">
        <v>1685</v>
      </c>
      <c r="E96" s="2" t="s">
        <v>1686</v>
      </c>
    </row>
    <row r="97" spans="1:5" ht="69.599999999999994" thickBot="1" x14ac:dyDescent="0.35">
      <c r="A97" s="2" t="s">
        <v>1687</v>
      </c>
      <c r="B97" s="2" t="s">
        <v>1688</v>
      </c>
      <c r="C97" s="2" t="s">
        <v>1689</v>
      </c>
      <c r="D97" s="2" t="s">
        <v>1690</v>
      </c>
      <c r="E97" s="2" t="s">
        <v>1691</v>
      </c>
    </row>
    <row r="98" spans="1:5" ht="42" thickBot="1" x14ac:dyDescent="0.35">
      <c r="A98" s="2" t="s">
        <v>1692</v>
      </c>
      <c r="B98" s="2" t="s">
        <v>1693</v>
      </c>
      <c r="C98" s="2" t="s">
        <v>1694</v>
      </c>
      <c r="D98" s="2" t="s">
        <v>1695</v>
      </c>
      <c r="E98" s="2" t="s">
        <v>1696</v>
      </c>
    </row>
    <row r="99" spans="1:5" ht="55.8" thickBot="1" x14ac:dyDescent="0.35">
      <c r="A99" s="2" t="s">
        <v>1697</v>
      </c>
      <c r="B99" s="2" t="s">
        <v>621</v>
      </c>
      <c r="C99" s="2" t="s">
        <v>102</v>
      </c>
      <c r="D99" s="2" t="s">
        <v>415</v>
      </c>
      <c r="E99" s="2" t="s">
        <v>1139</v>
      </c>
    </row>
    <row r="100" spans="1:5" ht="55.8" thickBot="1" x14ac:dyDescent="0.35">
      <c r="A100" s="2" t="s">
        <v>1698</v>
      </c>
      <c r="B100" s="2" t="s">
        <v>1402</v>
      </c>
      <c r="C100" s="2" t="s">
        <v>1403</v>
      </c>
      <c r="D100" s="2" t="s">
        <v>1401</v>
      </c>
      <c r="E100" s="2" t="s">
        <v>1699</v>
      </c>
    </row>
    <row r="101" spans="1:5" ht="28.2" thickBot="1" x14ac:dyDescent="0.35">
      <c r="A101" s="2" t="s">
        <v>1700</v>
      </c>
      <c r="B101" s="2" t="s">
        <v>1161</v>
      </c>
      <c r="C101" s="2" t="s">
        <v>1162</v>
      </c>
      <c r="D101" s="2" t="s">
        <v>1318</v>
      </c>
      <c r="E101" s="2" t="s">
        <v>1164</v>
      </c>
    </row>
    <row r="102" spans="1:5" ht="55.8" thickBot="1" x14ac:dyDescent="0.35">
      <c r="A102" s="2" t="s">
        <v>1701</v>
      </c>
      <c r="B102" s="2" t="s">
        <v>1564</v>
      </c>
      <c r="C102" s="2" t="s">
        <v>1563</v>
      </c>
      <c r="D102" s="2" t="s">
        <v>1565</v>
      </c>
      <c r="E102" s="2" t="s">
        <v>1702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topLeftCell="A91" workbookViewId="0">
      <selection activeCell="A101" sqref="A101"/>
    </sheetView>
  </sheetViews>
  <sheetFormatPr baseColWidth="10" defaultRowHeight="14.4" x14ac:dyDescent="0.3"/>
  <cols>
    <col min="1" max="1" width="24" customWidth="1"/>
    <col min="2" max="2" width="38.109375" customWidth="1"/>
    <col min="3" max="3" width="23.44140625" customWidth="1"/>
    <col min="4" max="4" width="21.21875" customWidth="1"/>
    <col min="5" max="5" width="31.77734375" customWidth="1"/>
  </cols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thickBot="1" x14ac:dyDescent="0.35">
      <c r="A2" s="2" t="s">
        <v>969</v>
      </c>
      <c r="B2" s="2">
        <v>5</v>
      </c>
      <c r="C2" s="2">
        <v>1</v>
      </c>
      <c r="D2" s="2">
        <v>50</v>
      </c>
      <c r="E2" s="2">
        <v>2</v>
      </c>
    </row>
    <row r="3" spans="1:5" ht="97.2" thickBot="1" x14ac:dyDescent="0.35">
      <c r="A3" s="2" t="s">
        <v>876</v>
      </c>
      <c r="B3" s="2" t="s">
        <v>415</v>
      </c>
      <c r="C3" s="2" t="s">
        <v>102</v>
      </c>
      <c r="D3" s="2" t="s">
        <v>104</v>
      </c>
      <c r="E3" s="2" t="s">
        <v>103</v>
      </c>
    </row>
    <row r="4" spans="1:5" ht="111" thickBot="1" x14ac:dyDescent="0.35">
      <c r="A4" s="2" t="s">
        <v>877</v>
      </c>
      <c r="B4" s="2" t="s">
        <v>557</v>
      </c>
      <c r="C4" s="2" t="s">
        <v>558</v>
      </c>
      <c r="D4" s="2" t="s">
        <v>559</v>
      </c>
      <c r="E4" s="2" t="s">
        <v>560</v>
      </c>
    </row>
    <row r="5" spans="1:5" ht="69.599999999999994" thickBot="1" x14ac:dyDescent="0.35">
      <c r="A5" s="2" t="s">
        <v>970</v>
      </c>
      <c r="B5" s="3">
        <v>10</v>
      </c>
      <c r="C5" s="3">
        <v>1</v>
      </c>
      <c r="D5" s="3">
        <v>5</v>
      </c>
      <c r="E5" s="3">
        <v>11</v>
      </c>
    </row>
    <row r="6" spans="1:5" ht="124.8" thickBot="1" x14ac:dyDescent="0.35">
      <c r="A6" s="2" t="s">
        <v>878</v>
      </c>
      <c r="B6" s="2" t="s">
        <v>879</v>
      </c>
      <c r="C6" s="2" t="s">
        <v>880</v>
      </c>
      <c r="D6" s="2" t="s">
        <v>881</v>
      </c>
      <c r="E6" s="2" t="s">
        <v>882</v>
      </c>
    </row>
    <row r="7" spans="1:5" ht="138.6" thickBot="1" x14ac:dyDescent="0.35">
      <c r="A7" s="2" t="s">
        <v>883</v>
      </c>
      <c r="B7" s="2" t="s">
        <v>568</v>
      </c>
      <c r="C7" s="2" t="s">
        <v>567</v>
      </c>
      <c r="D7" s="2" t="s">
        <v>884</v>
      </c>
      <c r="E7" s="2" t="s">
        <v>885</v>
      </c>
    </row>
    <row r="8" spans="1:5" ht="69.599999999999994" thickBot="1" x14ac:dyDescent="0.35">
      <c r="A8" s="2" t="s">
        <v>886</v>
      </c>
      <c r="B8" s="2" t="s">
        <v>887</v>
      </c>
      <c r="C8" s="4" t="str">
        <f>"1/8"</f>
        <v>1/8</v>
      </c>
      <c r="D8" s="4" t="str">
        <f>"1/9"</f>
        <v>1/9</v>
      </c>
      <c r="E8" s="4" t="str">
        <f>"2"</f>
        <v>2</v>
      </c>
    </row>
    <row r="9" spans="1:5" ht="83.4" thickBot="1" x14ac:dyDescent="0.35">
      <c r="A9" s="2" t="s">
        <v>888</v>
      </c>
      <c r="B9" s="2" t="s">
        <v>858</v>
      </c>
      <c r="C9" s="2" t="s">
        <v>701</v>
      </c>
      <c r="D9" s="2" t="s">
        <v>377</v>
      </c>
      <c r="E9" s="2" t="s">
        <v>379</v>
      </c>
    </row>
    <row r="10" spans="1:5" ht="111" thickBot="1" x14ac:dyDescent="0.35">
      <c r="A10" s="2" t="s">
        <v>889</v>
      </c>
      <c r="B10" s="2" t="s">
        <v>103</v>
      </c>
      <c r="C10" s="2" t="s">
        <v>105</v>
      </c>
      <c r="D10" s="2" t="s">
        <v>890</v>
      </c>
      <c r="E10" s="2" t="s">
        <v>104</v>
      </c>
    </row>
    <row r="11" spans="1:5" ht="124.8" thickBot="1" x14ac:dyDescent="0.35">
      <c r="A11" s="2" t="s">
        <v>891</v>
      </c>
      <c r="B11" s="2" t="s">
        <v>836</v>
      </c>
      <c r="C11" s="2" t="s">
        <v>892</v>
      </c>
      <c r="D11" s="2" t="s">
        <v>893</v>
      </c>
      <c r="E11" s="2" t="s">
        <v>835</v>
      </c>
    </row>
    <row r="12" spans="1:5" ht="97.2" thickBot="1" x14ac:dyDescent="0.35">
      <c r="A12" s="2" t="s">
        <v>894</v>
      </c>
      <c r="B12" s="2" t="s">
        <v>113</v>
      </c>
      <c r="C12" s="2" t="s">
        <v>46</v>
      </c>
      <c r="D12" s="2" t="s">
        <v>47</v>
      </c>
      <c r="E12" s="2" t="s">
        <v>155</v>
      </c>
    </row>
    <row r="13" spans="1:5" ht="97.2" thickBot="1" x14ac:dyDescent="0.35">
      <c r="A13" s="2" t="s">
        <v>895</v>
      </c>
      <c r="B13" s="2" t="s">
        <v>896</v>
      </c>
      <c r="C13" s="2" t="s">
        <v>818</v>
      </c>
      <c r="D13" s="2" t="s">
        <v>817</v>
      </c>
      <c r="E13" s="2" t="s">
        <v>897</v>
      </c>
    </row>
    <row r="14" spans="1:5" ht="111" thickBot="1" x14ac:dyDescent="0.35">
      <c r="A14" s="2" t="s">
        <v>898</v>
      </c>
      <c r="B14" s="2" t="s">
        <v>105</v>
      </c>
      <c r="C14" s="2" t="s">
        <v>103</v>
      </c>
      <c r="D14" s="2" t="s">
        <v>204</v>
      </c>
      <c r="E14" s="2" t="s">
        <v>825</v>
      </c>
    </row>
    <row r="15" spans="1:5" ht="97.2" thickBot="1" x14ac:dyDescent="0.35">
      <c r="A15" s="2" t="s">
        <v>899</v>
      </c>
      <c r="B15" s="2" t="s">
        <v>588</v>
      </c>
      <c r="C15" s="2" t="s">
        <v>589</v>
      </c>
      <c r="D15" s="2" t="s">
        <v>590</v>
      </c>
      <c r="E15" s="2" t="s">
        <v>591</v>
      </c>
    </row>
    <row r="16" spans="1:5" ht="111" thickBot="1" x14ac:dyDescent="0.35">
      <c r="A16" s="2" t="s">
        <v>900</v>
      </c>
      <c r="B16" s="2" t="s">
        <v>860</v>
      </c>
      <c r="C16" s="2" t="s">
        <v>859</v>
      </c>
      <c r="D16" s="2" t="s">
        <v>901</v>
      </c>
      <c r="E16" s="2" t="s">
        <v>902</v>
      </c>
    </row>
    <row r="17" spans="1:5" ht="124.8" thickBot="1" x14ac:dyDescent="0.35">
      <c r="A17" s="2" t="s">
        <v>903</v>
      </c>
      <c r="B17" s="2" t="s">
        <v>861</v>
      </c>
      <c r="C17" s="2" t="s">
        <v>493</v>
      </c>
      <c r="D17" s="2" t="s">
        <v>494</v>
      </c>
      <c r="E17" s="2" t="s">
        <v>426</v>
      </c>
    </row>
    <row r="18" spans="1:5" ht="55.8" thickBot="1" x14ac:dyDescent="0.35">
      <c r="A18" s="2" t="s">
        <v>390</v>
      </c>
      <c r="B18" s="2" t="s">
        <v>391</v>
      </c>
      <c r="C18" s="2" t="s">
        <v>148</v>
      </c>
      <c r="D18" s="2" t="s">
        <v>862</v>
      </c>
      <c r="E18" s="2" t="s">
        <v>393</v>
      </c>
    </row>
    <row r="19" spans="1:5" ht="124.8" thickBot="1" x14ac:dyDescent="0.35">
      <c r="A19" s="2" t="s">
        <v>904</v>
      </c>
      <c r="B19" s="2" t="s">
        <v>498</v>
      </c>
      <c r="C19" s="2" t="s">
        <v>497</v>
      </c>
      <c r="D19" s="2" t="s">
        <v>499</v>
      </c>
      <c r="E19" s="2" t="s">
        <v>905</v>
      </c>
    </row>
    <row r="20" spans="1:5" ht="69.599999999999994" thickBot="1" x14ac:dyDescent="0.35">
      <c r="A20" s="2" t="s">
        <v>906</v>
      </c>
      <c r="B20" s="2">
        <v>11</v>
      </c>
      <c r="C20" s="2">
        <v>16</v>
      </c>
      <c r="D20" s="2">
        <v>10</v>
      </c>
      <c r="E20" s="2">
        <v>13</v>
      </c>
    </row>
    <row r="21" spans="1:5" ht="55.8" thickBot="1" x14ac:dyDescent="0.35">
      <c r="A21" s="2" t="s">
        <v>907</v>
      </c>
      <c r="B21" s="2" t="s">
        <v>863</v>
      </c>
      <c r="C21" s="2" t="s">
        <v>233</v>
      </c>
      <c r="D21" s="2" t="s">
        <v>232</v>
      </c>
      <c r="E21" s="2" t="s">
        <v>908</v>
      </c>
    </row>
    <row r="22" spans="1:5" ht="83.4" thickBot="1" x14ac:dyDescent="0.35">
      <c r="A22" s="2" t="s">
        <v>909</v>
      </c>
      <c r="B22" s="2" t="s">
        <v>897</v>
      </c>
      <c r="C22" s="2" t="s">
        <v>262</v>
      </c>
      <c r="D22" s="2" t="s">
        <v>265</v>
      </c>
      <c r="E22" s="2" t="s">
        <v>910</v>
      </c>
    </row>
    <row r="23" spans="1:5" ht="152.4" thickBot="1" x14ac:dyDescent="0.35">
      <c r="A23" s="2" t="s">
        <v>911</v>
      </c>
      <c r="B23" s="2" t="s">
        <v>107</v>
      </c>
      <c r="C23" s="2" t="s">
        <v>106</v>
      </c>
      <c r="D23" s="2" t="s">
        <v>108</v>
      </c>
      <c r="E23" s="2" t="s">
        <v>109</v>
      </c>
    </row>
    <row r="24" spans="1:5" ht="152.4" thickBot="1" x14ac:dyDescent="0.35">
      <c r="A24" s="2" t="s">
        <v>912</v>
      </c>
      <c r="B24" s="2" t="s">
        <v>482</v>
      </c>
      <c r="C24" s="2" t="s">
        <v>483</v>
      </c>
      <c r="D24" s="2" t="s">
        <v>484</v>
      </c>
      <c r="E24" s="2" t="s">
        <v>715</v>
      </c>
    </row>
    <row r="25" spans="1:5" ht="83.4" thickBot="1" x14ac:dyDescent="0.35">
      <c r="A25" s="2" t="s">
        <v>913</v>
      </c>
      <c r="B25" s="2" t="s">
        <v>914</v>
      </c>
      <c r="C25" s="2" t="s">
        <v>915</v>
      </c>
      <c r="D25" s="2" t="s">
        <v>916</v>
      </c>
      <c r="E25" s="2" t="s">
        <v>917</v>
      </c>
    </row>
    <row r="26" spans="1:5" ht="138.6" thickBot="1" x14ac:dyDescent="0.35">
      <c r="A26" s="2" t="s">
        <v>918</v>
      </c>
      <c r="B26" s="2" t="s">
        <v>629</v>
      </c>
      <c r="C26" s="2" t="s">
        <v>630</v>
      </c>
      <c r="D26" s="2" t="s">
        <v>631</v>
      </c>
      <c r="E26" s="2" t="s">
        <v>632</v>
      </c>
    </row>
    <row r="27" spans="1:5" ht="83.4" thickBot="1" x14ac:dyDescent="0.35">
      <c r="A27" s="2" t="s">
        <v>919</v>
      </c>
      <c r="B27" s="2" t="s">
        <v>920</v>
      </c>
      <c r="C27" s="2" t="s">
        <v>921</v>
      </c>
      <c r="D27" s="2" t="s">
        <v>922</v>
      </c>
      <c r="E27" s="2" t="s">
        <v>923</v>
      </c>
    </row>
    <row r="28" spans="1:5" ht="124.8" thickBot="1" x14ac:dyDescent="0.35">
      <c r="A28" s="2" t="s">
        <v>924</v>
      </c>
      <c r="B28" s="2" t="s">
        <v>81</v>
      </c>
      <c r="C28" s="2" t="s">
        <v>792</v>
      </c>
      <c r="D28" s="2" t="s">
        <v>925</v>
      </c>
      <c r="E28" s="2" t="s">
        <v>926</v>
      </c>
    </row>
    <row r="29" spans="1:5" ht="111" thickBot="1" x14ac:dyDescent="0.35">
      <c r="A29" s="2" t="s">
        <v>927</v>
      </c>
      <c r="B29" s="2">
        <v>6</v>
      </c>
      <c r="C29" s="2">
        <v>5</v>
      </c>
      <c r="D29" s="2">
        <v>8</v>
      </c>
      <c r="E29" s="2">
        <v>4</v>
      </c>
    </row>
    <row r="30" spans="1:5" ht="69.599999999999994" thickBot="1" x14ac:dyDescent="0.35">
      <c r="A30" s="2" t="s">
        <v>928</v>
      </c>
      <c r="B30" s="2" t="s">
        <v>864</v>
      </c>
      <c r="C30" s="2" t="s">
        <v>865</v>
      </c>
      <c r="D30" s="2" t="s">
        <v>866</v>
      </c>
      <c r="E30" s="2" t="s">
        <v>929</v>
      </c>
    </row>
    <row r="31" spans="1:5" ht="124.8" thickBot="1" x14ac:dyDescent="0.35">
      <c r="A31" s="2" t="s">
        <v>930</v>
      </c>
      <c r="B31" s="2" t="s">
        <v>104</v>
      </c>
      <c r="C31" s="2" t="s">
        <v>105</v>
      </c>
      <c r="D31" s="2" t="s">
        <v>243</v>
      </c>
      <c r="E31" s="2" t="s">
        <v>102</v>
      </c>
    </row>
    <row r="32" spans="1:5" ht="124.8" thickBot="1" x14ac:dyDescent="0.35">
      <c r="A32" s="2" t="s">
        <v>931</v>
      </c>
      <c r="B32" s="2" t="s">
        <v>932</v>
      </c>
      <c r="C32" s="2" t="s">
        <v>656</v>
      </c>
      <c r="D32" s="2" t="s">
        <v>657</v>
      </c>
      <c r="E32" s="2" t="s">
        <v>933</v>
      </c>
    </row>
    <row r="33" spans="1:5" ht="138.6" thickBot="1" x14ac:dyDescent="0.35">
      <c r="A33" s="2" t="s">
        <v>934</v>
      </c>
      <c r="B33" s="2" t="s">
        <v>811</v>
      </c>
      <c r="C33" s="2" t="s">
        <v>813</v>
      </c>
      <c r="D33" s="2" t="s">
        <v>812</v>
      </c>
      <c r="E33" s="2" t="s">
        <v>935</v>
      </c>
    </row>
    <row r="34" spans="1:5" ht="124.8" thickBot="1" x14ac:dyDescent="0.35">
      <c r="A34" s="2" t="s">
        <v>936</v>
      </c>
      <c r="B34" s="2" t="s">
        <v>937</v>
      </c>
      <c r="C34" s="2" t="s">
        <v>938</v>
      </c>
      <c r="D34" s="2" t="s">
        <v>939</v>
      </c>
      <c r="E34" s="2" t="s">
        <v>940</v>
      </c>
    </row>
    <row r="35" spans="1:5" ht="111" thickBot="1" x14ac:dyDescent="0.35">
      <c r="A35" s="2" t="s">
        <v>941</v>
      </c>
      <c r="B35" s="2" t="s">
        <v>369</v>
      </c>
      <c r="C35" s="2" t="s">
        <v>942</v>
      </c>
      <c r="D35" s="2" t="s">
        <v>943</v>
      </c>
      <c r="E35" s="2" t="s">
        <v>944</v>
      </c>
    </row>
    <row r="36" spans="1:5" ht="138.6" thickBot="1" x14ac:dyDescent="0.35">
      <c r="A36" s="2" t="s">
        <v>945</v>
      </c>
      <c r="B36" s="2" t="s">
        <v>241</v>
      </c>
      <c r="C36" s="2" t="s">
        <v>150</v>
      </c>
      <c r="D36" s="2" t="s">
        <v>242</v>
      </c>
      <c r="E36" s="2" t="s">
        <v>153</v>
      </c>
    </row>
    <row r="37" spans="1:5" ht="97.2" thickBot="1" x14ac:dyDescent="0.35">
      <c r="A37" s="2" t="s">
        <v>946</v>
      </c>
      <c r="B37" s="2" t="s">
        <v>374</v>
      </c>
      <c r="C37" s="2" t="s">
        <v>867</v>
      </c>
      <c r="D37" s="2" t="s">
        <v>701</v>
      </c>
      <c r="E37" s="2" t="s">
        <v>702</v>
      </c>
    </row>
    <row r="38" spans="1:5" ht="55.8" thickBot="1" x14ac:dyDescent="0.35">
      <c r="A38" s="2" t="s">
        <v>947</v>
      </c>
      <c r="B38" s="2">
        <v>10</v>
      </c>
      <c r="C38" s="2">
        <v>50</v>
      </c>
      <c r="D38" s="2">
        <v>5</v>
      </c>
      <c r="E38" s="2">
        <v>20</v>
      </c>
    </row>
    <row r="39" spans="1:5" ht="97.2" thickBot="1" x14ac:dyDescent="0.35">
      <c r="A39" s="2" t="s">
        <v>948</v>
      </c>
      <c r="B39" s="2" t="s">
        <v>676</v>
      </c>
      <c r="C39" s="2" t="s">
        <v>675</v>
      </c>
      <c r="D39" s="2" t="s">
        <v>677</v>
      </c>
      <c r="E39" s="2" t="s">
        <v>678</v>
      </c>
    </row>
    <row r="40" spans="1:5" ht="138.6" thickBot="1" x14ac:dyDescent="0.35">
      <c r="A40" s="2" t="s">
        <v>949</v>
      </c>
      <c r="B40" s="2" t="s">
        <v>868</v>
      </c>
      <c r="C40" s="2" t="s">
        <v>869</v>
      </c>
      <c r="D40" s="2" t="s">
        <v>870</v>
      </c>
      <c r="E40" s="2" t="s">
        <v>871</v>
      </c>
    </row>
    <row r="41" spans="1:5" ht="42" thickBot="1" x14ac:dyDescent="0.35">
      <c r="A41" s="2" t="s">
        <v>950</v>
      </c>
      <c r="B41" s="2" t="s">
        <v>873</v>
      </c>
      <c r="C41" s="2" t="s">
        <v>951</v>
      </c>
      <c r="D41" s="2" t="s">
        <v>872</v>
      </c>
      <c r="E41" s="2" t="s">
        <v>874</v>
      </c>
    </row>
    <row r="42" spans="1:5" ht="55.8" thickBot="1" x14ac:dyDescent="0.35">
      <c r="A42" s="2" t="s">
        <v>952</v>
      </c>
      <c r="B42" s="2" t="s">
        <v>953</v>
      </c>
      <c r="C42" s="2" t="s">
        <v>954</v>
      </c>
      <c r="D42" s="2" t="s">
        <v>955</v>
      </c>
      <c r="E42" s="2" t="s">
        <v>956</v>
      </c>
    </row>
    <row r="43" spans="1:5" ht="166.2" thickBot="1" x14ac:dyDescent="0.35">
      <c r="A43" s="2" t="s">
        <v>957</v>
      </c>
      <c r="B43" s="2" t="s">
        <v>842</v>
      </c>
      <c r="C43" s="2" t="s">
        <v>958</v>
      </c>
      <c r="D43" s="2" t="s">
        <v>959</v>
      </c>
      <c r="E43" s="2" t="s">
        <v>960</v>
      </c>
    </row>
    <row r="44" spans="1:5" ht="124.8" thickBot="1" x14ac:dyDescent="0.35">
      <c r="A44" s="2" t="s">
        <v>961</v>
      </c>
      <c r="B44" s="2">
        <v>0.5</v>
      </c>
      <c r="C44" s="2">
        <v>0.2</v>
      </c>
      <c r="D44" s="2">
        <v>0.1</v>
      </c>
      <c r="E44" s="2">
        <v>1.2</v>
      </c>
    </row>
    <row r="45" spans="1:5" ht="166.2" thickBot="1" x14ac:dyDescent="0.35">
      <c r="A45" s="2" t="s">
        <v>962</v>
      </c>
      <c r="B45" s="2">
        <v>1978</v>
      </c>
      <c r="C45" s="2">
        <v>1986</v>
      </c>
      <c r="D45" s="2">
        <v>2022</v>
      </c>
      <c r="E45" s="2">
        <v>1994</v>
      </c>
    </row>
    <row r="46" spans="1:5" ht="111" thickBot="1" x14ac:dyDescent="0.35">
      <c r="A46" s="2" t="s">
        <v>963</v>
      </c>
      <c r="B46" s="2" t="s">
        <v>397</v>
      </c>
      <c r="C46" s="2" t="s">
        <v>396</v>
      </c>
      <c r="D46" s="2" t="s">
        <v>398</v>
      </c>
      <c r="E46" s="2" t="s">
        <v>964</v>
      </c>
    </row>
    <row r="47" spans="1:5" ht="124.8" thickBot="1" x14ac:dyDescent="0.35">
      <c r="A47" s="2" t="s">
        <v>965</v>
      </c>
      <c r="B47" s="2" t="s">
        <v>503</v>
      </c>
      <c r="C47" s="2" t="s">
        <v>502</v>
      </c>
      <c r="D47" s="2" t="s">
        <v>504</v>
      </c>
      <c r="E47" s="2" t="s">
        <v>735</v>
      </c>
    </row>
    <row r="48" spans="1:5" ht="138.6" thickBot="1" x14ac:dyDescent="0.35">
      <c r="A48" s="2" t="s">
        <v>966</v>
      </c>
      <c r="B48" s="2" t="s">
        <v>875</v>
      </c>
      <c r="C48" s="2" t="s">
        <v>547</v>
      </c>
      <c r="D48" s="2" t="s">
        <v>228</v>
      </c>
      <c r="E48" s="2" t="s">
        <v>548</v>
      </c>
    </row>
    <row r="49" spans="1:5" ht="152.4" thickBot="1" x14ac:dyDescent="0.35">
      <c r="A49" s="2" t="s">
        <v>967</v>
      </c>
      <c r="B49" s="2" t="s">
        <v>713</v>
      </c>
      <c r="C49" s="2" t="s">
        <v>711</v>
      </c>
      <c r="D49" s="2" t="s">
        <v>712</v>
      </c>
      <c r="E49" s="2" t="s">
        <v>968</v>
      </c>
    </row>
    <row r="50" spans="1:5" ht="15" thickBot="1" x14ac:dyDescent="0.35"/>
    <row r="51" spans="1:5" ht="15" thickBot="1" x14ac:dyDescent="0.35">
      <c r="A51" s="1" t="s">
        <v>1132</v>
      </c>
      <c r="B51" s="1" t="s">
        <v>1133</v>
      </c>
      <c r="C51" s="1" t="s">
        <v>1134</v>
      </c>
      <c r="D51" s="1" t="s">
        <v>1135</v>
      </c>
      <c r="E51" s="1" t="s">
        <v>1136</v>
      </c>
    </row>
    <row r="52" spans="1:5" ht="28.2" thickBot="1" x14ac:dyDescent="0.35">
      <c r="A52" s="2" t="s">
        <v>1704</v>
      </c>
      <c r="B52" s="2">
        <v>5</v>
      </c>
      <c r="C52" s="2">
        <v>1</v>
      </c>
      <c r="D52" s="2">
        <v>50</v>
      </c>
      <c r="E52" s="2">
        <v>2</v>
      </c>
    </row>
    <row r="53" spans="1:5" ht="42" thickBot="1" x14ac:dyDescent="0.35">
      <c r="A53" s="2" t="s">
        <v>1705</v>
      </c>
      <c r="B53" s="2" t="s">
        <v>415</v>
      </c>
      <c r="C53" s="2" t="s">
        <v>102</v>
      </c>
      <c r="D53" s="2" t="s">
        <v>1139</v>
      </c>
      <c r="E53" s="2" t="s">
        <v>1061</v>
      </c>
    </row>
    <row r="54" spans="1:5" ht="42" thickBot="1" x14ac:dyDescent="0.35">
      <c r="A54" s="2" t="s">
        <v>1706</v>
      </c>
      <c r="B54" s="2" t="s">
        <v>1707</v>
      </c>
      <c r="C54" s="2" t="s">
        <v>1708</v>
      </c>
      <c r="D54" s="2" t="s">
        <v>881</v>
      </c>
      <c r="E54" s="2" t="s">
        <v>1709</v>
      </c>
    </row>
    <row r="55" spans="1:5" ht="55.8" thickBot="1" x14ac:dyDescent="0.35">
      <c r="A55" s="2" t="s">
        <v>1710</v>
      </c>
      <c r="B55" s="2" t="s">
        <v>1451</v>
      </c>
      <c r="C55" s="2" t="s">
        <v>1450</v>
      </c>
      <c r="D55" s="2" t="s">
        <v>1711</v>
      </c>
      <c r="E55" s="2" t="s">
        <v>1712</v>
      </c>
    </row>
    <row r="56" spans="1:5" ht="42" thickBot="1" x14ac:dyDescent="0.35">
      <c r="A56" s="2" t="s">
        <v>1714</v>
      </c>
      <c r="B56" s="2" t="s">
        <v>1715</v>
      </c>
      <c r="C56" s="2" t="s">
        <v>701</v>
      </c>
      <c r="D56" s="2" t="s">
        <v>1298</v>
      </c>
      <c r="E56" s="2" t="s">
        <v>1300</v>
      </c>
    </row>
    <row r="57" spans="1:5" ht="55.8" thickBot="1" x14ac:dyDescent="0.35">
      <c r="A57" s="2" t="s">
        <v>1716</v>
      </c>
      <c r="B57" s="2" t="s">
        <v>1061</v>
      </c>
      <c r="C57" s="2" t="s">
        <v>1062</v>
      </c>
      <c r="D57" s="2" t="s">
        <v>1581</v>
      </c>
      <c r="E57" s="2" t="s">
        <v>1139</v>
      </c>
    </row>
    <row r="58" spans="1:5" ht="55.8" thickBot="1" x14ac:dyDescent="0.35">
      <c r="A58" s="2" t="s">
        <v>1717</v>
      </c>
      <c r="B58" s="2" t="s">
        <v>1684</v>
      </c>
      <c r="C58" s="2" t="s">
        <v>1718</v>
      </c>
      <c r="D58" s="2" t="s">
        <v>1719</v>
      </c>
      <c r="E58" s="2" t="s">
        <v>1683</v>
      </c>
    </row>
    <row r="59" spans="1:5" ht="42" thickBot="1" x14ac:dyDescent="0.35">
      <c r="A59" s="2" t="s">
        <v>1464</v>
      </c>
      <c r="B59" s="2" t="s">
        <v>113</v>
      </c>
      <c r="C59" s="2" t="s">
        <v>46</v>
      </c>
      <c r="D59" s="2" t="s">
        <v>47</v>
      </c>
      <c r="E59" s="2" t="s">
        <v>155</v>
      </c>
    </row>
    <row r="60" spans="1:5" ht="69.599999999999994" thickBot="1" x14ac:dyDescent="0.35">
      <c r="A60" s="2" t="s">
        <v>1720</v>
      </c>
      <c r="B60" s="2" t="s">
        <v>1721</v>
      </c>
      <c r="C60" s="2" t="s">
        <v>1663</v>
      </c>
      <c r="D60" s="2" t="s">
        <v>1662</v>
      </c>
      <c r="E60" s="2" t="s">
        <v>1722</v>
      </c>
    </row>
    <row r="61" spans="1:5" ht="55.8" thickBot="1" x14ac:dyDescent="0.35">
      <c r="A61" s="2" t="s">
        <v>1723</v>
      </c>
      <c r="B61" s="2" t="s">
        <v>1062</v>
      </c>
      <c r="C61" s="2" t="s">
        <v>1061</v>
      </c>
      <c r="D61" s="2" t="s">
        <v>1140</v>
      </c>
      <c r="E61" s="2" t="s">
        <v>1670</v>
      </c>
    </row>
    <row r="62" spans="1:5" ht="42" thickBot="1" x14ac:dyDescent="0.35">
      <c r="A62" s="2" t="s">
        <v>1724</v>
      </c>
      <c r="B62" s="2" t="s">
        <v>1471</v>
      </c>
      <c r="C62" s="2" t="s">
        <v>1472</v>
      </c>
      <c r="D62" s="2" t="s">
        <v>1473</v>
      </c>
      <c r="E62" s="2" t="s">
        <v>1474</v>
      </c>
    </row>
    <row r="63" spans="1:5" ht="55.8" thickBot="1" x14ac:dyDescent="0.35">
      <c r="A63" s="2" t="s">
        <v>1725</v>
      </c>
      <c r="B63" s="2" t="s">
        <v>1726</v>
      </c>
      <c r="C63" s="2" t="s">
        <v>1727</v>
      </c>
      <c r="D63" s="2" t="s">
        <v>901</v>
      </c>
      <c r="E63" s="2" t="s">
        <v>1728</v>
      </c>
    </row>
    <row r="64" spans="1:5" ht="42" thickBot="1" x14ac:dyDescent="0.35">
      <c r="A64" s="2" t="s">
        <v>1729</v>
      </c>
      <c r="B64" s="2" t="s">
        <v>1730</v>
      </c>
      <c r="C64" s="2" t="s">
        <v>1395</v>
      </c>
      <c r="D64" s="2" t="s">
        <v>1396</v>
      </c>
      <c r="E64" s="2" t="s">
        <v>426</v>
      </c>
    </row>
    <row r="65" spans="1:5" ht="28.2" thickBot="1" x14ac:dyDescent="0.35">
      <c r="A65" s="2" t="s">
        <v>1308</v>
      </c>
      <c r="B65" s="2" t="s">
        <v>1309</v>
      </c>
      <c r="C65" s="2" t="s">
        <v>1095</v>
      </c>
      <c r="D65" s="2" t="s">
        <v>1731</v>
      </c>
      <c r="E65" s="2" t="s">
        <v>1311</v>
      </c>
    </row>
    <row r="66" spans="1:5" ht="55.8" thickBot="1" x14ac:dyDescent="0.35">
      <c r="A66" s="2" t="s">
        <v>1732</v>
      </c>
      <c r="B66" s="2" t="s">
        <v>498</v>
      </c>
      <c r="C66" s="2" t="s">
        <v>497</v>
      </c>
      <c r="D66" s="2" t="s">
        <v>1399</v>
      </c>
      <c r="E66" s="2" t="s">
        <v>905</v>
      </c>
    </row>
    <row r="67" spans="1:5" ht="55.8" thickBot="1" x14ac:dyDescent="0.35">
      <c r="A67" s="2" t="s">
        <v>1733</v>
      </c>
      <c r="B67" s="2">
        <v>11</v>
      </c>
      <c r="C67" s="2">
        <v>16</v>
      </c>
      <c r="D67" s="2">
        <v>10</v>
      </c>
      <c r="E67" s="2">
        <v>13</v>
      </c>
    </row>
    <row r="68" spans="1:5" ht="55.8" thickBot="1" x14ac:dyDescent="0.35">
      <c r="A68" s="2" t="s">
        <v>1734</v>
      </c>
      <c r="B68" s="2" t="s">
        <v>1735</v>
      </c>
      <c r="C68" s="2" t="s">
        <v>1736</v>
      </c>
      <c r="D68" s="2" t="s">
        <v>1737</v>
      </c>
      <c r="E68" s="2" t="s">
        <v>421</v>
      </c>
    </row>
    <row r="69" spans="1:5" ht="55.8" thickBot="1" x14ac:dyDescent="0.35">
      <c r="A69" s="2" t="s">
        <v>1738</v>
      </c>
      <c r="B69" s="2" t="s">
        <v>863</v>
      </c>
      <c r="C69" s="2" t="s">
        <v>233</v>
      </c>
      <c r="D69" s="2" t="s">
        <v>232</v>
      </c>
      <c r="E69" s="2" t="s">
        <v>908</v>
      </c>
    </row>
    <row r="70" spans="1:5" ht="55.8" thickBot="1" x14ac:dyDescent="0.35">
      <c r="A70" s="2" t="s">
        <v>1739</v>
      </c>
      <c r="B70" s="2" t="s">
        <v>1065</v>
      </c>
      <c r="C70" s="2" t="s">
        <v>1064</v>
      </c>
      <c r="D70" s="2" t="s">
        <v>1066</v>
      </c>
      <c r="E70" s="2" t="s">
        <v>1067</v>
      </c>
    </row>
    <row r="71" spans="1:5" ht="69.599999999999994" thickBot="1" x14ac:dyDescent="0.35">
      <c r="A71" s="2" t="s">
        <v>1740</v>
      </c>
      <c r="B71" s="2" t="s">
        <v>1386</v>
      </c>
      <c r="C71" s="2" t="s">
        <v>483</v>
      </c>
      <c r="D71" s="2" t="s">
        <v>1387</v>
      </c>
      <c r="E71" s="2" t="s">
        <v>1567</v>
      </c>
    </row>
    <row r="72" spans="1:5" ht="28.2" thickBot="1" x14ac:dyDescent="0.35">
      <c r="A72" s="2" t="s">
        <v>1741</v>
      </c>
      <c r="B72" s="2" t="s">
        <v>1742</v>
      </c>
      <c r="C72" s="2" t="s">
        <v>1743</v>
      </c>
      <c r="D72" s="2" t="s">
        <v>1744</v>
      </c>
      <c r="E72" s="2" t="s">
        <v>1745</v>
      </c>
    </row>
    <row r="73" spans="1:5" ht="55.8" thickBot="1" x14ac:dyDescent="0.35">
      <c r="A73" s="2" t="s">
        <v>1746</v>
      </c>
      <c r="B73" s="2" t="s">
        <v>1499</v>
      </c>
      <c r="C73" s="2" t="s">
        <v>1500</v>
      </c>
      <c r="D73" s="2" t="s">
        <v>1501</v>
      </c>
      <c r="E73" s="2" t="s">
        <v>1502</v>
      </c>
    </row>
    <row r="74" spans="1:5" ht="28.2" thickBot="1" x14ac:dyDescent="0.35">
      <c r="A74" s="2" t="s">
        <v>1747</v>
      </c>
      <c r="B74" s="2" t="s">
        <v>1748</v>
      </c>
      <c r="C74" s="2" t="s">
        <v>1749</v>
      </c>
      <c r="D74" s="2" t="s">
        <v>1750</v>
      </c>
      <c r="E74" s="2" t="s">
        <v>1751</v>
      </c>
    </row>
    <row r="75" spans="1:5" ht="42" thickBot="1" x14ac:dyDescent="0.35">
      <c r="A75" s="2" t="s">
        <v>1752</v>
      </c>
      <c r="B75" s="2" t="s">
        <v>1645</v>
      </c>
      <c r="C75" s="2" t="s">
        <v>1644</v>
      </c>
      <c r="D75" s="2" t="s">
        <v>925</v>
      </c>
      <c r="E75" s="2" t="s">
        <v>1753</v>
      </c>
    </row>
    <row r="76" spans="1:5" ht="42" thickBot="1" x14ac:dyDescent="0.35">
      <c r="A76" s="2" t="s">
        <v>1512</v>
      </c>
      <c r="B76" s="2">
        <v>6</v>
      </c>
      <c r="C76" s="2">
        <v>5</v>
      </c>
      <c r="D76" s="2">
        <v>8</v>
      </c>
      <c r="E76" s="2">
        <v>4</v>
      </c>
    </row>
    <row r="77" spans="1:5" ht="42" thickBot="1" x14ac:dyDescent="0.35">
      <c r="A77" s="2" t="s">
        <v>1754</v>
      </c>
      <c r="B77" s="2" t="s">
        <v>864</v>
      </c>
      <c r="C77" s="2" t="s">
        <v>865</v>
      </c>
      <c r="D77" s="2" t="s">
        <v>866</v>
      </c>
      <c r="E77" s="2" t="s">
        <v>929</v>
      </c>
    </row>
    <row r="78" spans="1:5" ht="55.8" thickBot="1" x14ac:dyDescent="0.35">
      <c r="A78" s="2" t="s">
        <v>1755</v>
      </c>
      <c r="B78" s="2" t="s">
        <v>1139</v>
      </c>
      <c r="C78" s="2" t="s">
        <v>1062</v>
      </c>
      <c r="D78" s="2" t="s">
        <v>1172</v>
      </c>
      <c r="E78" s="2" t="s">
        <v>102</v>
      </c>
    </row>
    <row r="79" spans="1:5" ht="55.8" thickBot="1" x14ac:dyDescent="0.35">
      <c r="A79" s="2" t="s">
        <v>1756</v>
      </c>
      <c r="B79" s="2" t="s">
        <v>932</v>
      </c>
      <c r="C79" s="2" t="s">
        <v>656</v>
      </c>
      <c r="D79" s="2" t="s">
        <v>657</v>
      </c>
      <c r="E79" s="2" t="s">
        <v>933</v>
      </c>
    </row>
    <row r="80" spans="1:5" ht="55.8" thickBot="1" x14ac:dyDescent="0.35">
      <c r="A80" s="2" t="s">
        <v>1757</v>
      </c>
      <c r="B80" s="2" t="s">
        <v>1657</v>
      </c>
      <c r="C80" s="2" t="s">
        <v>1468</v>
      </c>
      <c r="D80" s="2" t="s">
        <v>1658</v>
      </c>
      <c r="E80" s="2" t="s">
        <v>1758</v>
      </c>
    </row>
    <row r="81" spans="1:5" ht="55.8" thickBot="1" x14ac:dyDescent="0.35">
      <c r="A81" s="2" t="s">
        <v>1759</v>
      </c>
      <c r="B81" s="2" t="s">
        <v>937</v>
      </c>
      <c r="C81" s="2" t="s">
        <v>938</v>
      </c>
      <c r="D81" s="2" t="s">
        <v>939</v>
      </c>
      <c r="E81" s="2" t="s">
        <v>940</v>
      </c>
    </row>
    <row r="82" spans="1:5" ht="69.599999999999994" thickBot="1" x14ac:dyDescent="0.35">
      <c r="A82" s="2" t="s">
        <v>1760</v>
      </c>
      <c r="B82" s="2" t="s">
        <v>1761</v>
      </c>
      <c r="C82" s="2" t="s">
        <v>1762</v>
      </c>
      <c r="D82" s="2" t="s">
        <v>1763</v>
      </c>
      <c r="E82" s="2" t="s">
        <v>944</v>
      </c>
    </row>
    <row r="83" spans="1:5" ht="55.8" thickBot="1" x14ac:dyDescent="0.35">
      <c r="A83" s="2" t="s">
        <v>1764</v>
      </c>
      <c r="B83" s="2" t="s">
        <v>1169</v>
      </c>
      <c r="C83" s="2" t="s">
        <v>1097</v>
      </c>
      <c r="D83" s="2" t="s">
        <v>1170</v>
      </c>
      <c r="E83" s="2" t="s">
        <v>1100</v>
      </c>
    </row>
    <row r="84" spans="1:5" ht="42" thickBot="1" x14ac:dyDescent="0.35">
      <c r="A84" s="2" t="s">
        <v>1765</v>
      </c>
      <c r="B84" s="2" t="s">
        <v>374</v>
      </c>
      <c r="C84" s="2" t="s">
        <v>1766</v>
      </c>
      <c r="D84" s="2" t="s">
        <v>701</v>
      </c>
      <c r="E84" s="2" t="s">
        <v>1559</v>
      </c>
    </row>
    <row r="85" spans="1:5" ht="28.2" thickBot="1" x14ac:dyDescent="0.35">
      <c r="A85" s="2" t="s">
        <v>1767</v>
      </c>
      <c r="B85" s="2">
        <v>10</v>
      </c>
      <c r="C85" s="2">
        <v>50</v>
      </c>
      <c r="D85" s="2">
        <v>5</v>
      </c>
      <c r="E85" s="2">
        <v>20</v>
      </c>
    </row>
    <row r="86" spans="1:5" ht="28.2" thickBot="1" x14ac:dyDescent="0.35">
      <c r="A86" s="2" t="s">
        <v>1768</v>
      </c>
      <c r="B86" s="2" t="s">
        <v>1540</v>
      </c>
      <c r="C86" s="2" t="s">
        <v>1539</v>
      </c>
      <c r="D86" s="2" t="s">
        <v>1541</v>
      </c>
      <c r="E86" s="2" t="s">
        <v>1542</v>
      </c>
    </row>
    <row r="87" spans="1:5" ht="55.8" thickBot="1" x14ac:dyDescent="0.35">
      <c r="A87" s="2" t="s">
        <v>1769</v>
      </c>
      <c r="B87" s="2" t="s">
        <v>868</v>
      </c>
      <c r="C87" s="2" t="s">
        <v>869</v>
      </c>
      <c r="D87" s="2" t="s">
        <v>870</v>
      </c>
      <c r="E87" s="2" t="s">
        <v>871</v>
      </c>
    </row>
    <row r="88" spans="1:5" ht="42" thickBot="1" x14ac:dyDescent="0.35">
      <c r="A88" s="2" t="s">
        <v>1770</v>
      </c>
      <c r="B88" s="2" t="s">
        <v>1771</v>
      </c>
      <c r="C88" s="2" t="s">
        <v>1772</v>
      </c>
      <c r="D88" s="2" t="s">
        <v>1773</v>
      </c>
      <c r="E88" s="2" t="s">
        <v>1774</v>
      </c>
    </row>
    <row r="89" spans="1:5" ht="28.2" thickBot="1" x14ac:dyDescent="0.35">
      <c r="A89" s="2" t="s">
        <v>1775</v>
      </c>
      <c r="B89" s="2" t="s">
        <v>1713</v>
      </c>
      <c r="C89" s="4">
        <v>46236</v>
      </c>
      <c r="D89" s="4">
        <v>46235</v>
      </c>
      <c r="E89" s="2" t="s">
        <v>1556</v>
      </c>
    </row>
    <row r="90" spans="1:5" ht="42" thickBot="1" x14ac:dyDescent="0.35">
      <c r="A90" s="2" t="s">
        <v>1776</v>
      </c>
      <c r="B90" s="2" t="s">
        <v>1777</v>
      </c>
      <c r="C90" s="2" t="s">
        <v>1778</v>
      </c>
      <c r="D90" s="2" t="s">
        <v>1779</v>
      </c>
      <c r="E90" s="2" t="s">
        <v>1780</v>
      </c>
    </row>
    <row r="91" spans="1:5" ht="55.8" thickBot="1" x14ac:dyDescent="0.35">
      <c r="A91" s="2" t="s">
        <v>1781</v>
      </c>
      <c r="B91" s="2" t="s">
        <v>1690</v>
      </c>
      <c r="C91" s="2" t="s">
        <v>1782</v>
      </c>
      <c r="D91" s="2" t="s">
        <v>1783</v>
      </c>
      <c r="E91" s="2" t="s">
        <v>1784</v>
      </c>
    </row>
    <row r="92" spans="1:5" ht="42" thickBot="1" x14ac:dyDescent="0.35">
      <c r="A92" s="2" t="s">
        <v>1785</v>
      </c>
      <c r="B92" s="2" t="s">
        <v>1786</v>
      </c>
      <c r="C92" s="2" t="s">
        <v>1787</v>
      </c>
      <c r="D92" s="2" t="s">
        <v>1788</v>
      </c>
      <c r="E92" s="2" t="s">
        <v>1789</v>
      </c>
    </row>
    <row r="93" spans="1:5" ht="69.599999999999994" thickBot="1" x14ac:dyDescent="0.35">
      <c r="A93" s="2" t="s">
        <v>1790</v>
      </c>
      <c r="B93" s="2">
        <v>1978</v>
      </c>
      <c r="C93" s="2">
        <v>1986</v>
      </c>
      <c r="D93" s="2">
        <v>2022</v>
      </c>
      <c r="E93" s="2">
        <v>1994</v>
      </c>
    </row>
    <row r="94" spans="1:5" ht="42" thickBot="1" x14ac:dyDescent="0.35">
      <c r="A94" s="2" t="s">
        <v>1791</v>
      </c>
      <c r="B94" s="2" t="s">
        <v>1315</v>
      </c>
      <c r="C94" s="2" t="s">
        <v>1314</v>
      </c>
      <c r="D94" s="2" t="s">
        <v>1316</v>
      </c>
      <c r="E94" s="2" t="s">
        <v>1792</v>
      </c>
    </row>
    <row r="95" spans="1:5" ht="42" thickBot="1" x14ac:dyDescent="0.35">
      <c r="A95" s="2" t="s">
        <v>1793</v>
      </c>
      <c r="B95" s="2" t="s">
        <v>1403</v>
      </c>
      <c r="C95" s="2" t="s">
        <v>1402</v>
      </c>
      <c r="D95" s="2" t="s">
        <v>1404</v>
      </c>
      <c r="E95" s="2" t="s">
        <v>1585</v>
      </c>
    </row>
    <row r="96" spans="1:5" ht="55.8" thickBot="1" x14ac:dyDescent="0.35">
      <c r="A96" s="2" t="s">
        <v>1794</v>
      </c>
      <c r="B96" s="2" t="s">
        <v>1795</v>
      </c>
      <c r="C96" s="2" t="s">
        <v>1439</v>
      </c>
      <c r="D96" s="2" t="s">
        <v>1163</v>
      </c>
      <c r="E96" s="2" t="s">
        <v>1440</v>
      </c>
    </row>
    <row r="97" spans="1:5" ht="55.8" thickBot="1" x14ac:dyDescent="0.35">
      <c r="A97" s="2" t="s">
        <v>1796</v>
      </c>
      <c r="B97" s="2" t="s">
        <v>1565</v>
      </c>
      <c r="C97" s="2" t="s">
        <v>1563</v>
      </c>
      <c r="D97" s="2" t="s">
        <v>1564</v>
      </c>
      <c r="E97" s="2" t="s">
        <v>1797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1°</vt:lpstr>
      <vt:lpstr>2°</vt:lpstr>
      <vt:lpstr>3°</vt:lpstr>
      <vt:lpstr>4°</vt:lpstr>
      <vt:lpstr>5°</vt:lpstr>
      <vt:lpstr>6°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Tech</dc:creator>
  <cp:lastModifiedBy>Aula Tech</cp:lastModifiedBy>
  <dcterms:created xsi:type="dcterms:W3CDTF">2026-06-02T12:00:14Z</dcterms:created>
  <dcterms:modified xsi:type="dcterms:W3CDTF">2026-06-03T15:23:28Z</dcterms:modified>
</cp:coreProperties>
</file>